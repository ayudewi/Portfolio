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ocuments\Portfolio\"/>
    </mc:Choice>
  </mc:AlternateContent>
  <xr:revisionPtr revIDLastSave="0" documentId="13_ncr:1_{E0AD5C94-E326-4411-8641-FE1C10639020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G4" i="1"/>
  <c r="G5" i="1"/>
  <c r="G6" i="1"/>
  <c r="G7" i="1"/>
  <c r="G8" i="1"/>
  <c r="G2" i="1"/>
  <c r="G3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6" i="1"/>
  <c r="F17" i="1"/>
  <c r="F18" i="1"/>
  <c r="F19" i="1"/>
  <c r="F20" i="1"/>
  <c r="F21" i="1"/>
  <c r="F22" i="1"/>
  <c r="F3" i="1"/>
  <c r="F9" i="1"/>
  <c r="F10" i="1"/>
  <c r="F11" i="1"/>
  <c r="F12" i="1"/>
  <c r="F13" i="1"/>
  <c r="F14" i="1"/>
  <c r="F15" i="1"/>
  <c r="F2" i="1"/>
  <c r="E8" i="2"/>
  <c r="F8" i="2"/>
  <c r="E6" i="2"/>
  <c r="D5" i="2"/>
  <c r="D8" i="2"/>
  <c r="D6" i="2"/>
  <c r="F6" i="2"/>
  <c r="G5" i="2"/>
  <c r="F7" i="2"/>
  <c r="F5" i="2"/>
  <c r="G7" i="2"/>
  <c r="G6" i="2"/>
  <c r="E7" i="2"/>
  <c r="E5" i="2"/>
  <c r="G8" i="2"/>
</calcChain>
</file>

<file path=xl/sharedStrings.xml><?xml version="1.0" encoding="utf-8"?>
<sst xmlns="http://schemas.openxmlformats.org/spreadsheetml/2006/main" count="100" uniqueCount="62">
  <si>
    <t>ID</t>
  </si>
  <si>
    <t>Probability</t>
  </si>
  <si>
    <t>Impact</t>
  </si>
  <si>
    <t>ProbabilityScore</t>
  </si>
  <si>
    <t>SearchString</t>
  </si>
  <si>
    <t>Display Name</t>
  </si>
  <si>
    <t>A</t>
  </si>
  <si>
    <t>C</t>
  </si>
  <si>
    <t>D</t>
  </si>
  <si>
    <t>B</t>
  </si>
  <si>
    <t xml:space="preserve">1 - insignificant </t>
  </si>
  <si>
    <t xml:space="preserve">2 - rendah </t>
  </si>
  <si>
    <t xml:space="preserve">3 - sedang  </t>
  </si>
  <si>
    <t xml:space="preserve">4 - tinggi </t>
  </si>
  <si>
    <t>Drivers</t>
  </si>
  <si>
    <t>A - Pasti</t>
  </si>
  <si>
    <t>B - Hampir pasti</t>
  </si>
  <si>
    <t>C - Mungkin</t>
  </si>
  <si>
    <t xml:space="preserve">D - Kemungkinan kecil </t>
  </si>
  <si>
    <t>political will</t>
  </si>
  <si>
    <t>migrasi satwa</t>
  </si>
  <si>
    <t>penangkaran satli</t>
  </si>
  <si>
    <t>tata ruang petrnk</t>
  </si>
  <si>
    <t>biosecurity</t>
  </si>
  <si>
    <t>petrnk nomaden</t>
  </si>
  <si>
    <t>reklamasi</t>
  </si>
  <si>
    <t>pemb KA</t>
  </si>
  <si>
    <t>pemb waduk</t>
  </si>
  <si>
    <t>pertambangan</t>
  </si>
  <si>
    <t>deforestasi</t>
  </si>
  <si>
    <t>alih fgs lahan</t>
  </si>
  <si>
    <t>anomali iklim</t>
  </si>
  <si>
    <t>resistensi ab</t>
  </si>
  <si>
    <t>obat dan pestisida</t>
  </si>
  <si>
    <t>limbah</t>
  </si>
  <si>
    <t>polusi</t>
  </si>
  <si>
    <t>perub bhn pakan</t>
  </si>
  <si>
    <t>industrialisasi</t>
  </si>
  <si>
    <t>transmigrasi</t>
  </si>
  <si>
    <t>makan dg mentah</t>
  </si>
  <si>
    <t>YOPI</t>
  </si>
  <si>
    <t>konsumsi satli</t>
  </si>
  <si>
    <t>banjir</t>
  </si>
  <si>
    <t>kebakaran hutan</t>
  </si>
  <si>
    <t>erupsi</t>
  </si>
  <si>
    <t>erosi</t>
  </si>
  <si>
    <t>gempa</t>
  </si>
  <si>
    <t>hwn kesayangan</t>
  </si>
  <si>
    <t>adat</t>
  </si>
  <si>
    <t>perilaku</t>
  </si>
  <si>
    <t>perdg manusia</t>
  </si>
  <si>
    <t>perdg hwn</t>
  </si>
  <si>
    <t>perdg produk</t>
  </si>
  <si>
    <t>kontes satwa</t>
  </si>
  <si>
    <t>bioterorism</t>
  </si>
  <si>
    <t>pendididkan</t>
  </si>
  <si>
    <t>ekonomi</t>
  </si>
  <si>
    <t>vaksinasi tdk sesuai</t>
  </si>
  <si>
    <t>perub pjg musim</t>
  </si>
  <si>
    <t>pemb jln</t>
  </si>
  <si>
    <t>perang/konflik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</si>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</sst>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ourier New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6"/>
      <color rgb="FFFFFFFF"/>
      <name val="Calibri"/>
      <family val="2"/>
    </font>
    <font>
      <b/>
      <sz val="16"/>
      <color rgb="FF000000"/>
      <name val="Calibri"/>
      <family val="2"/>
    </font>
    <font>
      <sz val="11"/>
      <color theme="0"/>
      <name val="Courier New"/>
      <family val="2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Courier New"/>
      <family val="2"/>
    </font>
    <font>
      <b/>
      <sz val="18"/>
      <color rgb="FF000000"/>
      <name val="Calibri"/>
      <family val="2"/>
    </font>
    <font>
      <sz val="11"/>
      <color theme="1"/>
      <name val="Calibri"/>
      <scheme val="minor"/>
    </font>
    <font>
      <sz val="11"/>
      <color theme="2" tint="-0.249977111117893"/>
      <name val="Calibri"/>
      <scheme val="minor"/>
    </font>
    <font>
      <sz val="11"/>
      <color theme="0"/>
      <name val="Calibri"/>
      <scheme val="minor"/>
    </font>
    <font>
      <b/>
      <sz val="18"/>
      <color theme="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5">
    <xf numFmtId="0" fontId="0" fillId="0" borderId="0"/>
    <xf numFmtId="0" fontId="1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17">
    <xf numFmtId="0" fontId="0" fillId="0" borderId="0" xfId="0"/>
    <xf numFmtId="0" fontId="1" fillId="0" borderId="0" xfId="1"/>
    <xf numFmtId="0" fontId="5" fillId="6" borderId="1" xfId="0" applyFont="1" applyFill="1" applyBorder="1" applyAlignment="1">
      <alignment vertical="top" wrapText="1"/>
    </xf>
    <xf numFmtId="0" fontId="6" fillId="6" borderId="1" xfId="0" applyFont="1" applyFill="1" applyBorder="1" applyAlignment="1">
      <alignment horizontal="left" vertical="top" wrapText="1" readingOrder="1"/>
    </xf>
    <xf numFmtId="0" fontId="8" fillId="5" borderId="0" xfId="1" applyFont="1" applyFill="1" applyAlignment="1">
      <alignment horizontal="center" vertical="top"/>
    </xf>
    <xf numFmtId="0" fontId="8" fillId="0" borderId="0" xfId="1" applyFont="1"/>
    <xf numFmtId="0" fontId="7" fillId="0" borderId="0" xfId="0" applyFont="1"/>
    <xf numFmtId="0" fontId="9" fillId="5" borderId="0" xfId="1" applyFont="1" applyFill="1" applyAlignment="1">
      <alignment horizontal="center" vertical="top"/>
    </xf>
    <xf numFmtId="0" fontId="9" fillId="0" borderId="0" xfId="1" applyFont="1"/>
    <xf numFmtId="0" fontId="10" fillId="0" borderId="0" xfId="0" applyFont="1"/>
    <xf numFmtId="0" fontId="11" fillId="6" borderId="1" xfId="0" applyFont="1" applyFill="1" applyBorder="1" applyAlignment="1">
      <alignment horizontal="left" vertical="top" wrapText="1" readingOrder="1"/>
    </xf>
    <xf numFmtId="0" fontId="12" fillId="0" borderId="0" xfId="1" applyFont="1"/>
    <xf numFmtId="0" fontId="13" fillId="0" borderId="0" xfId="1" applyFont="1"/>
    <xf numFmtId="0" fontId="14" fillId="0" borderId="0" xfId="1" applyFont="1"/>
    <xf numFmtId="0" fontId="11" fillId="9" borderId="1" xfId="0" applyFont="1" applyFill="1" applyBorder="1" applyAlignment="1">
      <alignment vertical="top" wrapText="1"/>
    </xf>
    <xf numFmtId="0" fontId="11" fillId="8" borderId="1" xfId="0" applyFont="1" applyFill="1" applyBorder="1" applyAlignment="1">
      <alignment vertical="top" wrapText="1"/>
    </xf>
    <xf numFmtId="0" fontId="15" fillId="7" borderId="1" xfId="0" applyFont="1" applyFill="1" applyBorder="1" applyAlignment="1">
      <alignment vertical="top" wrapText="1"/>
    </xf>
  </cellXfs>
  <cellStyles count="5">
    <cellStyle name="Bad 2" xfId="3" xr:uid="{00000000-0005-0000-0000-000000000000}"/>
    <cellStyle name="Good 2" xfId="2" xr:uid="{00000000-0005-0000-0000-000001000000}"/>
    <cellStyle name="Neutral 2" xfId="4" xr:uid="{00000000-0005-0000-0000-000002000000}"/>
    <cellStyle name="Normal" xfId="0" builtinId="0"/>
    <cellStyle name="Normal 2" xfId="1" xr:uid="{00000000-0005-0000-0000-000004000000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relativeIndent="0" justifyLastLine="0" shrinkToFit="0" readingOrder="0"/>
    </dxf>
    <dxf>
      <fill>
        <patternFill>
          <bgColor rgb="FFC9DCFB"/>
        </patternFill>
      </fill>
    </dxf>
    <dxf>
      <font>
        <b/>
        <i val="0"/>
        <color theme="0"/>
      </font>
      <fill>
        <patternFill>
          <bgColor rgb="FF004A91"/>
        </patternFill>
      </fill>
    </dxf>
  </dxfs>
  <tableStyles count="1" defaultTableStyle="TableStyleMedium2" defaultPivotStyle="PivotStyleLight16">
    <tableStyle name="Table Style 1" pivot="0" count="2" xr9:uid="{00000000-0011-0000-FFFF-FFFF00000000}">
      <tableStyleElement type="headerRow" dxfId="9"/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11339</xdr:colOff>
      <xdr:row>4</xdr:row>
      <xdr:rowOff>519113</xdr:rowOff>
    </xdr:from>
    <xdr:to>
      <xdr:col>1</xdr:col>
      <xdr:colOff>461963</xdr:colOff>
      <xdr:row>7</xdr:row>
      <xdr:rowOff>790577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517072" y="2589667"/>
          <a:ext cx="3026910" cy="450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2000"/>
            <a:t>Likelihood</a:t>
          </a:r>
        </a:p>
      </xdr:txBody>
    </xdr:sp>
    <xdr:clientData/>
  </xdr:twoCellAnchor>
  <xdr:twoCellAnchor>
    <xdr:from>
      <xdr:col>3</xdr:col>
      <xdr:colOff>838201</xdr:colOff>
      <xdr:row>9</xdr:row>
      <xdr:rowOff>102054</xdr:rowOff>
    </xdr:from>
    <xdr:to>
      <xdr:col>5</xdr:col>
      <xdr:colOff>866776</xdr:colOff>
      <xdr:row>11</xdr:row>
      <xdr:rowOff>170089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298826" y="4830536"/>
          <a:ext cx="3169557" cy="453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2000"/>
            <a:t>Dampak</a:t>
          </a:r>
        </a:p>
      </xdr:txBody>
    </xdr:sp>
    <xdr:clientData/>
  </xdr:twoCellAnchor>
  <xdr:twoCellAnchor>
    <xdr:from>
      <xdr:col>3</xdr:col>
      <xdr:colOff>2494107</xdr:colOff>
      <xdr:row>0</xdr:row>
      <xdr:rowOff>135782</xdr:rowOff>
    </xdr:from>
    <xdr:to>
      <xdr:col>6</xdr:col>
      <xdr:colOff>585190</xdr:colOff>
      <xdr:row>2</xdr:row>
      <xdr:rowOff>178253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601152" y="135782"/>
          <a:ext cx="7717106" cy="41769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800" b="1">
              <a:solidFill>
                <a:schemeClr val="tx2">
                  <a:lumMod val="60000"/>
                  <a:lumOff val="40000"/>
                </a:schemeClr>
              </a:solidFill>
            </a:rPr>
            <a:t>Risk Mapping</a:t>
          </a:r>
          <a:r>
            <a:rPr lang="en-US" sz="1800" b="1" baseline="0">
              <a:solidFill>
                <a:schemeClr val="tx2">
                  <a:lumMod val="60000"/>
                  <a:lumOff val="40000"/>
                </a:schemeClr>
              </a:solidFill>
            </a:rPr>
            <a:t> EID dan Zoonosis</a:t>
          </a:r>
          <a:endParaRPr lang="en-US" sz="18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RiskData" displayName="tblRiskData" ref="A1:G153" totalsRowShown="0" headerRowDxfId="7" headerRowCellStyle="Normal 2">
  <autoFilter ref="A1:G153" xr:uid="{00000000-0009-0000-0100-000001000000}"/>
  <tableColumns count="7">
    <tableColumn id="1" xr3:uid="{00000000-0010-0000-0000-000001000000}" name="ID" dataDxfId="6" dataCellStyle="Normal 2"/>
    <tableColumn id="2" xr3:uid="{00000000-0010-0000-0000-000002000000}" name="Drivers" dataDxfId="5" dataCellStyle="Normal 2"/>
    <tableColumn id="3" xr3:uid="{00000000-0010-0000-0000-000003000000}" name="Probability" dataDxfId="4" dataCellStyle="Normal 2"/>
    <tableColumn id="4" xr3:uid="{00000000-0010-0000-0000-000004000000}" name="Impact" dataDxfId="3" dataCellStyle="Normal 2"/>
    <tableColumn id="5" xr3:uid="{00000000-0010-0000-0000-000005000000}" name="ProbabilityScore" dataDxfId="2" dataCellStyle="Normal 2"/>
    <tableColumn id="6" xr3:uid="{00000000-0010-0000-0000-000006000000}" name="SearchString" dataDxfId="1" dataCellStyle="Normal 2">
      <calculatedColumnFormula>CONCATENATE("x",E2^4+D2)</calculatedColumnFormula>
    </tableColumn>
    <tableColumn id="7" xr3:uid="{00000000-0010-0000-0000-000007000000}" name="Display Name" dataDxfId="0" dataCellStyle="Normal 2">
      <calculatedColumnFormula>CONCATENATE(B2)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53"/>
  <sheetViews>
    <sheetView workbookViewId="0">
      <selection sqref="A1:D43"/>
    </sheetView>
  </sheetViews>
  <sheetFormatPr defaultRowHeight="15" x14ac:dyDescent="0.25"/>
  <cols>
    <col min="2" max="2" width="43.109375" customWidth="1"/>
    <col min="3" max="3" width="10" customWidth="1"/>
    <col min="5" max="5" width="13.77734375" style="9" customWidth="1"/>
    <col min="6" max="6" width="12.88671875" style="6" bestFit="1" customWidth="1"/>
    <col min="7" max="7" width="11.88671875" style="6" customWidth="1"/>
  </cols>
  <sheetData>
    <row r="1" spans="1:7" x14ac:dyDescent="0.25">
      <c r="A1" s="1" t="s">
        <v>0</v>
      </c>
      <c r="B1" s="1" t="s">
        <v>14</v>
      </c>
      <c r="C1" s="1" t="s">
        <v>1</v>
      </c>
      <c r="D1" s="1" t="s">
        <v>2</v>
      </c>
      <c r="E1" s="7" t="s">
        <v>3</v>
      </c>
      <c r="F1" s="4" t="s">
        <v>4</v>
      </c>
      <c r="G1" s="4" t="s">
        <v>5</v>
      </c>
    </row>
    <row r="2" spans="1:7" x14ac:dyDescent="0.25">
      <c r="A2" s="1">
        <v>1</v>
      </c>
      <c r="B2" s="1" t="s">
        <v>19</v>
      </c>
      <c r="C2" s="1" t="s">
        <v>7</v>
      </c>
      <c r="D2" s="1">
        <v>4</v>
      </c>
      <c r="E2" s="8">
        <v>2</v>
      </c>
      <c r="F2" s="5" t="str">
        <f>CONCATENATE("x",E2^4+D2)</f>
        <v>x20</v>
      </c>
      <c r="G2" s="5" t="str">
        <f t="shared" ref="G2:G36" si="0">CONCATENATE(B2)</f>
        <v>political will</v>
      </c>
    </row>
    <row r="3" spans="1:7" x14ac:dyDescent="0.25">
      <c r="A3" s="1">
        <v>2</v>
      </c>
      <c r="B3" s="1" t="s">
        <v>20</v>
      </c>
      <c r="C3" s="1" t="s">
        <v>6</v>
      </c>
      <c r="D3" s="1">
        <v>4</v>
      </c>
      <c r="E3" s="8">
        <v>4</v>
      </c>
      <c r="F3" s="5" t="str">
        <f t="shared" ref="F3:F15" si="1">CONCATENATE("x",E3^4+D3)</f>
        <v>x260</v>
      </c>
      <c r="G3" s="5" t="str">
        <f t="shared" si="0"/>
        <v>migrasi satwa</v>
      </c>
    </row>
    <row r="4" spans="1:7" x14ac:dyDescent="0.25">
      <c r="A4" s="1">
        <v>3</v>
      </c>
      <c r="B4" s="11" t="s">
        <v>42</v>
      </c>
      <c r="C4" s="1" t="s">
        <v>6</v>
      </c>
      <c r="D4" s="11">
        <v>3</v>
      </c>
      <c r="E4" s="12">
        <v>4</v>
      </c>
      <c r="F4" s="13" t="str">
        <f>CONCATENATE("x",E4^4+D4)</f>
        <v>x259</v>
      </c>
      <c r="G4" s="13" t="str">
        <f>CONCATENATE(B4)</f>
        <v>banjir</v>
      </c>
    </row>
    <row r="5" spans="1:7" x14ac:dyDescent="0.25">
      <c r="A5" s="1">
        <v>4</v>
      </c>
      <c r="B5" s="11" t="s">
        <v>43</v>
      </c>
      <c r="C5" s="1" t="s">
        <v>6</v>
      </c>
      <c r="D5" s="11">
        <v>3</v>
      </c>
      <c r="E5" s="12">
        <v>4</v>
      </c>
      <c r="F5" s="13" t="str">
        <f>CONCATENATE("x",E5^4+D5)</f>
        <v>x259</v>
      </c>
      <c r="G5" s="13" t="str">
        <f>CONCATENATE(B5)</f>
        <v>kebakaran hutan</v>
      </c>
    </row>
    <row r="6" spans="1:7" x14ac:dyDescent="0.25">
      <c r="A6" s="1">
        <v>5</v>
      </c>
      <c r="B6" s="11" t="s">
        <v>44</v>
      </c>
      <c r="C6" s="1" t="s">
        <v>6</v>
      </c>
      <c r="D6" s="11">
        <v>3</v>
      </c>
      <c r="E6" s="12">
        <v>4</v>
      </c>
      <c r="F6" s="13" t="str">
        <f>CONCATENATE("x",E6^4+D6)</f>
        <v>x259</v>
      </c>
      <c r="G6" s="13" t="str">
        <f>CONCATENATE(B6)</f>
        <v>erupsi</v>
      </c>
    </row>
    <row r="7" spans="1:7" x14ac:dyDescent="0.25">
      <c r="A7" s="1">
        <v>6</v>
      </c>
      <c r="B7" s="11" t="s">
        <v>45</v>
      </c>
      <c r="C7" s="1" t="s">
        <v>6</v>
      </c>
      <c r="D7" s="11">
        <v>3</v>
      </c>
      <c r="E7" s="12">
        <v>4</v>
      </c>
      <c r="F7" s="13" t="str">
        <f>CONCATENATE("x",E7^4+D7)</f>
        <v>x259</v>
      </c>
      <c r="G7" s="13" t="str">
        <f>CONCATENATE(B7)</f>
        <v>erosi</v>
      </c>
    </row>
    <row r="8" spans="1:7" x14ac:dyDescent="0.25">
      <c r="A8" s="1">
        <v>7</v>
      </c>
      <c r="B8" s="11" t="s">
        <v>46</v>
      </c>
      <c r="C8" s="1" t="s">
        <v>6</v>
      </c>
      <c r="D8" s="11">
        <v>3</v>
      </c>
      <c r="E8" s="12">
        <v>4</v>
      </c>
      <c r="F8" s="13" t="str">
        <f>CONCATENATE("x",E8^4+D8)</f>
        <v>x259</v>
      </c>
      <c r="G8" s="13" t="str">
        <f>CONCATENATE(B8)</f>
        <v>gempa</v>
      </c>
    </row>
    <row r="9" spans="1:7" x14ac:dyDescent="0.25">
      <c r="A9" s="1">
        <v>8</v>
      </c>
      <c r="B9" s="1" t="s">
        <v>22</v>
      </c>
      <c r="C9" s="1" t="s">
        <v>9</v>
      </c>
      <c r="D9" s="1">
        <v>4</v>
      </c>
      <c r="E9" s="8">
        <v>3</v>
      </c>
      <c r="F9" s="5" t="str">
        <f t="shared" si="1"/>
        <v>x85</v>
      </c>
      <c r="G9" s="5" t="str">
        <f t="shared" si="0"/>
        <v>tata ruang petrnk</v>
      </c>
    </row>
    <row r="10" spans="1:7" x14ac:dyDescent="0.25">
      <c r="A10" s="1">
        <v>9</v>
      </c>
      <c r="B10" s="1" t="s">
        <v>21</v>
      </c>
      <c r="C10" s="1" t="s">
        <v>6</v>
      </c>
      <c r="D10" s="1">
        <v>3</v>
      </c>
      <c r="E10" s="8">
        <v>4</v>
      </c>
      <c r="F10" s="5" t="str">
        <f t="shared" si="1"/>
        <v>x259</v>
      </c>
      <c r="G10" s="5" t="str">
        <f t="shared" si="0"/>
        <v>penangkaran satli</v>
      </c>
    </row>
    <row r="11" spans="1:7" x14ac:dyDescent="0.25">
      <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11" s="5" t="str">
        <f t="shared" si="1"/>
        <v>x260</v>
      </c>
      <c r="G11" s="5" t="str">
        <f t="shared" si="0"/>
        <v>biosecurity</v>
      </c>
    </row>
    <row r="12" spans="1:7" x14ac:dyDescent="0.25">
      <c r="A12" s="1">
        <v>11</v>
      </c>
      <c r="B12" s="1" t="s">
        <v>24</v>
      </c>
      <c r="C12" s="1" t="s">
        <v>6</v>
      </c>
      <c r="D12" s="1">
        <v>4</v>
      </c>
      <c r="E12" s="8">
        <v>4</v>
      </c>
      <c r="F12" s="5" t="str">
        <f t="shared" si="1"/>
        <v>x260</v>
      </c>
      <c r="G12" s="5" t="str">
        <f t="shared" si="0"/>
        <v>petrnk nomaden</v>
      </c>
    </row>
    <row r="13" spans="1:7" x14ac:dyDescent="0.25">
      <c r="A13" s="1">
        <v>12</v>
      </c>
      <c r="B13" s="1" t="s">
        <v>57</v>
      </c>
      <c r="C13" s="1" t="s">
        <v>9</v>
      </c>
      <c r="D13" s="1">
        <v>4</v>
      </c>
      <c r="E13" s="8">
        <v>3</v>
      </c>
      <c r="F13" s="5" t="str">
        <f t="shared" si="1"/>
        <v>x85</v>
      </c>
      <c r="G13" s="5" t="str">
        <f t="shared" si="0"/>
        <v>vaksinasi tdk sesuai</v>
      </c>
    </row>
    <row r="14" spans="1:7" x14ac:dyDescent="0.25">
      <c r="A14" s="1">
        <v>13</v>
      </c>
      <c r="B14" s="1" t="s">
        <v>25</v>
      </c>
      <c r="C14" s="1" t="s">
        <v>9</v>
      </c>
      <c r="D14" s="1">
        <v>3</v>
      </c>
      <c r="E14" s="8">
        <v>3</v>
      </c>
      <c r="F14" s="5" t="str">
        <f t="shared" si="1"/>
        <v>x84</v>
      </c>
      <c r="G14" s="5" t="str">
        <f t="shared" si="0"/>
        <v>reklamasi</v>
      </c>
    </row>
    <row r="15" spans="1:7" x14ac:dyDescent="0.25">
      <c r="A15" s="1">
        <v>14</v>
      </c>
      <c r="B15" s="1" t="s">
        <v>59</v>
      </c>
      <c r="C15" s="1" t="s">
        <v>6</v>
      </c>
      <c r="D15" s="1">
        <v>2</v>
      </c>
      <c r="E15" s="8">
        <v>4</v>
      </c>
      <c r="F15" s="5" t="str">
        <f t="shared" si="1"/>
        <v>x258</v>
      </c>
      <c r="G15" s="5" t="str">
        <f t="shared" si="0"/>
        <v>pemb jln</v>
      </c>
    </row>
    <row r="16" spans="1:7" x14ac:dyDescent="0.25">
      <c r="A16" s="1">
        <v>15</v>
      </c>
      <c r="B16" s="1" t="s">
        <v>26</v>
      </c>
      <c r="C16" s="1" t="s">
        <v>6</v>
      </c>
      <c r="D16" s="1">
        <v>2</v>
      </c>
      <c r="E16" s="8">
        <v>4</v>
      </c>
      <c r="F16" s="5" t="str">
        <f t="shared" ref="F16:F22" si="2">CONCATENATE("x",E16^4+D16)</f>
        <v>x258</v>
      </c>
      <c r="G16" s="5" t="str">
        <f t="shared" si="0"/>
        <v>pemb KA</v>
      </c>
    </row>
    <row r="17" spans="1:7" x14ac:dyDescent="0.25">
      <c r="A17" s="1">
        <v>16</v>
      </c>
      <c r="B17" s="1" t="s">
        <v>27</v>
      </c>
      <c r="C17" s="1" t="s">
        <v>6</v>
      </c>
      <c r="D17" s="1">
        <v>2</v>
      </c>
      <c r="E17" s="8">
        <v>4</v>
      </c>
      <c r="F17" s="5" t="str">
        <f t="shared" si="2"/>
        <v>x258</v>
      </c>
      <c r="G17" s="5" t="str">
        <f t="shared" si="0"/>
        <v>pemb waduk</v>
      </c>
    </row>
    <row r="18" spans="1:7" x14ac:dyDescent="0.25">
      <c r="A18" s="1">
        <v>17</v>
      </c>
      <c r="B18" s="1" t="s">
        <v>28</v>
      </c>
      <c r="C18" s="1" t="s">
        <v>6</v>
      </c>
      <c r="D18" s="1">
        <v>3</v>
      </c>
      <c r="E18" s="8">
        <v>4</v>
      </c>
      <c r="F18" s="5" t="str">
        <f t="shared" si="2"/>
        <v>x259</v>
      </c>
      <c r="G18" s="5" t="str">
        <f t="shared" si="0"/>
        <v>pertambangan</v>
      </c>
    </row>
    <row r="19" spans="1:7" x14ac:dyDescent="0.25">
      <c r="A19" s="1">
        <v>18</v>
      </c>
      <c r="B19" s="1" t="s">
        <v>29</v>
      </c>
      <c r="C19" s="1" t="s">
        <v>9</v>
      </c>
      <c r="D19" s="1">
        <v>3</v>
      </c>
      <c r="E19" s="8">
        <v>3</v>
      </c>
      <c r="F19" s="5" t="str">
        <f t="shared" si="2"/>
        <v>x84</v>
      </c>
      <c r="G19" s="5" t="str">
        <f t="shared" si="0"/>
        <v>deforestasi</v>
      </c>
    </row>
    <row r="20" spans="1:7" x14ac:dyDescent="0.25">
      <c r="A20" s="1">
        <v>19</v>
      </c>
      <c r="B20" s="1" t="s">
        <v>30</v>
      </c>
      <c r="C20" s="1" t="s">
        <v>9</v>
      </c>
      <c r="D20" s="1">
        <v>3</v>
      </c>
      <c r="E20" s="8">
        <v>3</v>
      </c>
      <c r="F20" s="5" t="str">
        <f t="shared" si="2"/>
        <v>x84</v>
      </c>
      <c r="G20" s="5" t="str">
        <f t="shared" si="0"/>
        <v>alih fgs lahan</v>
      </c>
    </row>
    <row r="21" spans="1:7" x14ac:dyDescent="0.25">
      <c r="A21" s="1">
        <v>20</v>
      </c>
      <c r="B21" s="1" t="s">
        <v>58</v>
      </c>
      <c r="C21" s="1" t="s">
        <v>6</v>
      </c>
      <c r="D21" s="1">
        <v>4</v>
      </c>
      <c r="E21" s="8">
        <v>4</v>
      </c>
      <c r="F21" s="5" t="str">
        <f t="shared" si="2"/>
        <v>x260</v>
      </c>
      <c r="G21" s="5" t="str">
        <f t="shared" si="0"/>
        <v>perub pjg musim</v>
      </c>
    </row>
    <row r="22" spans="1:7" x14ac:dyDescent="0.25">
      <c r="A22" s="1">
        <v>21</v>
      </c>
      <c r="B22" s="1" t="s">
        <v>31</v>
      </c>
      <c r="C22" s="1" t="s">
        <v>6</v>
      </c>
      <c r="D22" s="1">
        <v>4</v>
      </c>
      <c r="E22" s="8">
        <v>4</v>
      </c>
      <c r="F22" s="5" t="str">
        <f t="shared" si="2"/>
        <v>x260</v>
      </c>
      <c r="G22" s="5" t="str">
        <f t="shared" si="0"/>
        <v>anomali iklim</v>
      </c>
    </row>
    <row r="23" spans="1:7" x14ac:dyDescent="0.25">
      <c r="A23" s="1">
        <v>22</v>
      </c>
      <c r="B23" s="1" t="s">
        <v>32</v>
      </c>
      <c r="C23" s="1" t="s">
        <v>9</v>
      </c>
      <c r="D23" s="1">
        <v>4</v>
      </c>
      <c r="E23" s="8">
        <v>3</v>
      </c>
      <c r="F23" s="5" t="str">
        <f t="shared" ref="F23:F85" si="3">CONCATENATE("x",E23^4+D23)</f>
        <v>x85</v>
      </c>
      <c r="G23" s="5" t="str">
        <f t="shared" si="0"/>
        <v>resistensi ab</v>
      </c>
    </row>
    <row r="24" spans="1:7" x14ac:dyDescent="0.25">
      <c r="A24" s="1">
        <v>23</v>
      </c>
      <c r="B24" s="1" t="s">
        <v>33</v>
      </c>
      <c r="C24" s="1" t="s">
        <v>9</v>
      </c>
      <c r="D24" s="1">
        <v>4</v>
      </c>
      <c r="E24" s="8">
        <v>3</v>
      </c>
      <c r="F24" s="5" t="str">
        <f t="shared" si="3"/>
        <v>x85</v>
      </c>
      <c r="G24" s="5" t="str">
        <f t="shared" si="0"/>
        <v>obat dan pestisida</v>
      </c>
    </row>
    <row r="25" spans="1:7" x14ac:dyDescent="0.25">
      <c r="A25" s="1">
        <v>24</v>
      </c>
      <c r="B25" s="1" t="s">
        <v>34</v>
      </c>
      <c r="C25" s="1" t="s">
        <v>9</v>
      </c>
      <c r="D25" s="1">
        <v>2</v>
      </c>
      <c r="E25" s="8">
        <v>3</v>
      </c>
      <c r="F25" s="5" t="str">
        <f t="shared" si="3"/>
        <v>x83</v>
      </c>
      <c r="G25" s="5" t="str">
        <f t="shared" si="0"/>
        <v>limbah</v>
      </c>
    </row>
    <row r="26" spans="1:7" x14ac:dyDescent="0.25">
      <c r="A26" s="1">
        <v>25</v>
      </c>
      <c r="B26" s="1" t="s">
        <v>35</v>
      </c>
      <c r="C26" s="1" t="s">
        <v>9</v>
      </c>
      <c r="D26" s="1">
        <v>4</v>
      </c>
      <c r="E26" s="8">
        <v>3</v>
      </c>
      <c r="F26" s="5" t="str">
        <f t="shared" si="3"/>
        <v>x85</v>
      </c>
      <c r="G26" s="5" t="str">
        <f t="shared" si="0"/>
        <v>polusi</v>
      </c>
    </row>
    <row r="27" spans="1:7" x14ac:dyDescent="0.25">
      <c r="A27" s="1">
        <v>26</v>
      </c>
      <c r="B27" s="1" t="s">
        <v>36</v>
      </c>
      <c r="C27" s="1" t="s">
        <v>6</v>
      </c>
      <c r="D27" s="1">
        <v>4</v>
      </c>
      <c r="E27" s="8">
        <v>4</v>
      </c>
      <c r="F27" s="5" t="str">
        <f t="shared" si="3"/>
        <v>x260</v>
      </c>
      <c r="G27" s="5" t="str">
        <f t="shared" si="0"/>
        <v>perub bhn pakan</v>
      </c>
    </row>
    <row r="28" spans="1:7" x14ac:dyDescent="0.25">
      <c r="A28" s="1">
        <v>27</v>
      </c>
      <c r="B28" s="1" t="s">
        <v>37</v>
      </c>
      <c r="C28" s="1" t="s">
        <v>9</v>
      </c>
      <c r="D28" s="1">
        <v>3</v>
      </c>
      <c r="E28" s="8">
        <v>3</v>
      </c>
      <c r="F28" s="5" t="str">
        <f t="shared" si="3"/>
        <v>x84</v>
      </c>
      <c r="G28" s="5" t="str">
        <f t="shared" si="0"/>
        <v>industrialisasi</v>
      </c>
    </row>
    <row r="29" spans="1:7" x14ac:dyDescent="0.25">
      <c r="A29" s="1">
        <v>28</v>
      </c>
      <c r="B29" s="1" t="s">
        <v>38</v>
      </c>
      <c r="C29" s="1" t="s">
        <v>7</v>
      </c>
      <c r="D29" s="1">
        <v>3</v>
      </c>
      <c r="E29" s="8">
        <v>2</v>
      </c>
      <c r="F29" s="5" t="str">
        <f t="shared" si="3"/>
        <v>x19</v>
      </c>
      <c r="G29" s="5" t="str">
        <f t="shared" si="0"/>
        <v>transmigrasi</v>
      </c>
    </row>
    <row r="30" spans="1:7" x14ac:dyDescent="0.25">
      <c r="A30" s="1">
        <v>29</v>
      </c>
      <c r="B30" s="1" t="s">
        <v>39</v>
      </c>
      <c r="C30" s="1" t="s">
        <v>9</v>
      </c>
      <c r="D30" s="1">
        <v>4</v>
      </c>
      <c r="E30" s="8">
        <v>3</v>
      </c>
      <c r="F30" s="5" t="str">
        <f t="shared" si="3"/>
        <v>x85</v>
      </c>
      <c r="G30" s="5" t="str">
        <f t="shared" si="0"/>
        <v>makan dg mentah</v>
      </c>
    </row>
    <row r="31" spans="1:7" x14ac:dyDescent="0.25">
      <c r="A31" s="1">
        <v>30</v>
      </c>
      <c r="B31" s="1" t="s">
        <v>40</v>
      </c>
      <c r="C31" s="1" t="s">
        <v>7</v>
      </c>
      <c r="D31" s="1">
        <v>2</v>
      </c>
      <c r="E31" s="8">
        <v>2</v>
      </c>
      <c r="F31" s="5" t="str">
        <f t="shared" si="3"/>
        <v>x18</v>
      </c>
      <c r="G31" s="5" t="str">
        <f t="shared" si="0"/>
        <v>YOPI</v>
      </c>
    </row>
    <row r="32" spans="1:7" x14ac:dyDescent="0.25">
      <c r="A32" s="1">
        <v>31</v>
      </c>
      <c r="B32" s="1" t="s">
        <v>41</v>
      </c>
      <c r="C32" s="1" t="s">
        <v>7</v>
      </c>
      <c r="D32" s="1">
        <v>2</v>
      </c>
      <c r="E32" s="8">
        <v>2</v>
      </c>
      <c r="F32" s="5" t="str">
        <f t="shared" si="3"/>
        <v>x18</v>
      </c>
      <c r="G32" s="5" t="str">
        <f t="shared" si="0"/>
        <v>konsumsi satli</v>
      </c>
    </row>
    <row r="33" spans="1:7" x14ac:dyDescent="0.25">
      <c r="A33" s="1">
        <v>32</v>
      </c>
      <c r="B33" s="1" t="s">
        <v>47</v>
      </c>
      <c r="C33" s="1" t="s">
        <v>9</v>
      </c>
      <c r="D33" s="1">
        <v>3</v>
      </c>
      <c r="E33" s="8">
        <v>3</v>
      </c>
      <c r="F33" s="5" t="str">
        <f t="shared" si="3"/>
        <v>x84</v>
      </c>
      <c r="G33" s="5" t="str">
        <f t="shared" si="0"/>
        <v>hwn kesayangan</v>
      </c>
    </row>
    <row r="34" spans="1:7" x14ac:dyDescent="0.25">
      <c r="A34" s="1">
        <v>33</v>
      </c>
      <c r="B34" s="1" t="s">
        <v>48</v>
      </c>
      <c r="C34" s="1" t="s">
        <v>7</v>
      </c>
      <c r="D34" s="1">
        <v>2</v>
      </c>
      <c r="E34" s="8">
        <v>2</v>
      </c>
      <c r="F34" s="5" t="str">
        <f t="shared" si="3"/>
        <v>x18</v>
      </c>
      <c r="G34" s="5" t="str">
        <f t="shared" si="0"/>
        <v>adat</v>
      </c>
    </row>
    <row r="35" spans="1:7" x14ac:dyDescent="0.25">
      <c r="A35" s="1">
        <v>34</v>
      </c>
      <c r="B35" s="1" t="s">
        <v>49</v>
      </c>
      <c r="C35" s="1" t="s">
        <v>9</v>
      </c>
      <c r="D35" s="1">
        <v>3</v>
      </c>
      <c r="E35" s="8">
        <v>3</v>
      </c>
      <c r="F35" s="5" t="str">
        <f t="shared" si="3"/>
        <v>x84</v>
      </c>
      <c r="G35" s="5" t="str">
        <f t="shared" si="0"/>
        <v>perilaku</v>
      </c>
    </row>
    <row r="36" spans="1:7" x14ac:dyDescent="0.25">
      <c r="A36" s="1">
        <v>35</v>
      </c>
      <c r="B36" s="1" t="s">
        <v>50</v>
      </c>
      <c r="C36" s="1" t="s">
        <v>6</v>
      </c>
      <c r="D36" s="1">
        <v>4</v>
      </c>
      <c r="E36" s="8">
        <v>4</v>
      </c>
      <c r="F36" s="5" t="str">
        <f t="shared" si="3"/>
        <v>x260</v>
      </c>
      <c r="G36" s="5" t="str">
        <f t="shared" si="0"/>
        <v>perdg manusia</v>
      </c>
    </row>
    <row r="37" spans="1:7" x14ac:dyDescent="0.25">
      <c r="A37" s="1">
        <v>36</v>
      </c>
      <c r="B37" s="1" t="s">
        <v>51</v>
      </c>
      <c r="C37" s="1" t="s">
        <v>6</v>
      </c>
      <c r="D37" s="1">
        <v>4</v>
      </c>
      <c r="E37" s="8">
        <v>4</v>
      </c>
      <c r="F37" s="5" t="str">
        <f t="shared" si="3"/>
        <v>x260</v>
      </c>
      <c r="G37" s="5" t="str">
        <f t="shared" ref="G37:G68" si="4">CONCATENATE(B37)</f>
        <v>perdg hwn</v>
      </c>
    </row>
    <row r="38" spans="1:7" x14ac:dyDescent="0.25">
      <c r="A38" s="1">
        <v>37</v>
      </c>
      <c r="B38" s="1" t="s">
        <v>52</v>
      </c>
      <c r="C38" s="1" t="s">
        <v>9</v>
      </c>
      <c r="D38" s="1">
        <v>3</v>
      </c>
      <c r="E38" s="8">
        <v>3</v>
      </c>
      <c r="F38" s="5" t="str">
        <f t="shared" si="3"/>
        <v>x84</v>
      </c>
      <c r="G38" s="5" t="str">
        <f t="shared" si="4"/>
        <v>perdg produk</v>
      </c>
    </row>
    <row r="39" spans="1:7" x14ac:dyDescent="0.25">
      <c r="A39" s="1">
        <v>38</v>
      </c>
      <c r="B39" s="1" t="s">
        <v>53</v>
      </c>
      <c r="C39" s="1" t="s">
        <v>9</v>
      </c>
      <c r="D39" s="1">
        <v>4</v>
      </c>
      <c r="E39" s="8">
        <v>3</v>
      </c>
      <c r="F39" s="5" t="str">
        <f t="shared" si="3"/>
        <v>x85</v>
      </c>
      <c r="G39" s="5" t="str">
        <f t="shared" si="4"/>
        <v>kontes satwa</v>
      </c>
    </row>
    <row r="40" spans="1:7" x14ac:dyDescent="0.25">
      <c r="A40" s="1">
        <v>39</v>
      </c>
      <c r="B40" s="1" t="s">
        <v>54</v>
      </c>
      <c r="C40" s="1" t="s">
        <v>6</v>
      </c>
      <c r="D40" s="1">
        <v>4</v>
      </c>
      <c r="E40" s="8">
        <v>4</v>
      </c>
      <c r="F40" s="5" t="str">
        <f t="shared" si="3"/>
        <v>x260</v>
      </c>
      <c r="G40" s="5" t="str">
        <f t="shared" si="4"/>
        <v>bioterorism</v>
      </c>
    </row>
    <row r="41" spans="1:7" x14ac:dyDescent="0.25">
      <c r="A41" s="1">
        <v>40</v>
      </c>
      <c r="B41" s="1" t="s">
        <v>60</v>
      </c>
      <c r="C41" s="1" t="s">
        <v>8</v>
      </c>
      <c r="D41" s="1">
        <v>4</v>
      </c>
      <c r="E41" s="8">
        <v>1</v>
      </c>
      <c r="F41" s="5" t="str">
        <f t="shared" si="3"/>
        <v>x5</v>
      </c>
      <c r="G41" s="5" t="str">
        <f t="shared" si="4"/>
        <v>perang/konflik</v>
      </c>
    </row>
    <row r="42" spans="1:7" x14ac:dyDescent="0.25">
      <c r="A42" s="1">
        <v>41</v>
      </c>
      <c r="B42" s="1" t="s">
        <v>55</v>
      </c>
      <c r="C42" s="1" t="s">
        <v>6</v>
      </c>
      <c r="D42" s="1">
        <v>4</v>
      </c>
      <c r="E42" s="8">
        <v>4</v>
      </c>
      <c r="F42" s="5" t="str">
        <f t="shared" si="3"/>
        <v>x260</v>
      </c>
      <c r="G42" s="5" t="str">
        <f t="shared" si="4"/>
        <v>pendididkan</v>
      </c>
    </row>
    <row r="43" spans="1:7" x14ac:dyDescent="0.25">
      <c r="A43" s="1">
        <v>42</v>
      </c>
      <c r="B43" s="1" t="s">
        <v>56</v>
      </c>
      <c r="C43" s="1" t="s">
        <v>6</v>
      </c>
      <c r="D43" s="1">
        <v>4</v>
      </c>
      <c r="E43" s="8">
        <v>4</v>
      </c>
      <c r="F43" s="5" t="str">
        <f t="shared" si="3"/>
        <v>x260</v>
      </c>
      <c r="G43" s="5" t="str">
        <f t="shared" si="4"/>
        <v>ekonomi</v>
      </c>
    </row>
    <row r="44" spans="1:7" x14ac:dyDescent="0.25">
      <c r="A44" s="1">
        <v>43</v>
      </c>
      <c r="B44" s="1"/>
      <c r="C44" s="1"/>
      <c r="D44" s="1"/>
      <c r="E44" s="8"/>
      <c r="F44" s="5" t="str">
        <f t="shared" si="3"/>
        <v>x0</v>
      </c>
      <c r="G44" s="5" t="str">
        <f t="shared" si="4"/>
        <v/>
      </c>
    </row>
    <row r="45" spans="1:7" x14ac:dyDescent="0.25">
      <c r="A45" s="1">
        <v>44</v>
      </c>
      <c r="B45" s="1"/>
      <c r="C45" s="1"/>
      <c r="D45" s="1"/>
      <c r="E45" s="8"/>
      <c r="F45" s="5" t="str">
        <f t="shared" si="3"/>
        <v>x0</v>
      </c>
      <c r="G45" s="5" t="str">
        <f t="shared" si="4"/>
        <v/>
      </c>
    </row>
    <row r="46" spans="1:7" x14ac:dyDescent="0.25">
      <c r="A46" s="1">
        <v>45</v>
      </c>
      <c r="B46" s="1"/>
      <c r="C46" s="1"/>
      <c r="D46" s="1"/>
      <c r="E46" s="8"/>
      <c r="F46" s="5" t="str">
        <f t="shared" si="3"/>
        <v>x0</v>
      </c>
      <c r="G46" s="5" t="str">
        <f t="shared" si="4"/>
        <v/>
      </c>
    </row>
    <row r="47" spans="1:7" x14ac:dyDescent="0.25">
      <c r="A47" s="1">
        <v>46</v>
      </c>
      <c r="B47" s="1"/>
      <c r="C47" s="1"/>
      <c r="D47" s="1"/>
      <c r="E47" s="8"/>
      <c r="F47" s="5" t="str">
        <f t="shared" si="3"/>
        <v>x0</v>
      </c>
      <c r="G47" s="5" t="str">
        <f t="shared" si="4"/>
        <v/>
      </c>
    </row>
    <row r="48" spans="1:7" x14ac:dyDescent="0.25">
      <c r="A48" s="1">
        <v>47</v>
      </c>
      <c r="B48" s="1"/>
      <c r="C48" s="1"/>
      <c r="D48" s="1"/>
      <c r="E48" s="8"/>
      <c r="F48" s="5" t="str">
        <f t="shared" si="3"/>
        <v>x0</v>
      </c>
      <c r="G48" s="5" t="str">
        <f t="shared" si="4"/>
        <v/>
      </c>
    </row>
    <row r="49" spans="1:7" x14ac:dyDescent="0.25">
      <c r="A49" s="1">
        <v>48</v>
      </c>
      <c r="B49" s="1"/>
      <c r="C49" s="1"/>
      <c r="D49" s="1"/>
      <c r="E49" s="8"/>
      <c r="F49" s="5" t="str">
        <f t="shared" si="3"/>
        <v>x0</v>
      </c>
      <c r="G49" s="5" t="str">
        <f t="shared" si="4"/>
        <v/>
      </c>
    </row>
    <row r="50" spans="1:7" x14ac:dyDescent="0.25">
      <c r="A50" s="1">
        <v>49</v>
      </c>
      <c r="B50" s="1"/>
      <c r="C50" s="1"/>
      <c r="D50" s="1"/>
      <c r="E50" s="8"/>
      <c r="F50" s="5" t="str">
        <f t="shared" si="3"/>
        <v>x0</v>
      </c>
      <c r="G50" s="5" t="str">
        <f t="shared" si="4"/>
        <v/>
      </c>
    </row>
    <row r="51" spans="1:7" x14ac:dyDescent="0.25">
      <c r="A51" s="1">
        <v>50</v>
      </c>
      <c r="B51" s="1"/>
      <c r="C51" s="1"/>
      <c r="D51" s="1"/>
      <c r="E51" s="8"/>
      <c r="F51" s="5" t="str">
        <f t="shared" si="3"/>
        <v>x0</v>
      </c>
      <c r="G51" s="5" t="str">
        <f t="shared" si="4"/>
        <v/>
      </c>
    </row>
    <row r="52" spans="1:7" x14ac:dyDescent="0.25">
      <c r="A52" s="1">
        <v>51</v>
      </c>
      <c r="B52" s="1"/>
      <c r="C52" s="1"/>
      <c r="D52" s="1"/>
      <c r="E52" s="8"/>
      <c r="F52" s="5" t="str">
        <f t="shared" si="3"/>
        <v>x0</v>
      </c>
      <c r="G52" s="5" t="str">
        <f t="shared" si="4"/>
        <v/>
      </c>
    </row>
    <row r="53" spans="1:7" x14ac:dyDescent="0.25">
      <c r="A53" s="1">
        <v>52</v>
      </c>
      <c r="B53" s="1"/>
      <c r="C53" s="1"/>
      <c r="D53" s="1"/>
      <c r="E53" s="8"/>
      <c r="F53" s="5" t="str">
        <f t="shared" si="3"/>
        <v>x0</v>
      </c>
      <c r="G53" s="5" t="str">
        <f t="shared" si="4"/>
        <v/>
      </c>
    </row>
    <row r="54" spans="1:7" x14ac:dyDescent="0.25">
      <c r="A54" s="1">
        <v>53</v>
      </c>
      <c r="B54" s="1"/>
      <c r="C54" s="1"/>
      <c r="D54" s="1"/>
      <c r="E54" s="8"/>
      <c r="F54" s="5" t="str">
        <f t="shared" si="3"/>
        <v>x0</v>
      </c>
      <c r="G54" s="5" t="str">
        <f t="shared" si="4"/>
        <v/>
      </c>
    </row>
    <row r="55" spans="1:7" x14ac:dyDescent="0.25">
      <c r="A55" s="1">
        <v>54</v>
      </c>
      <c r="B55" s="1"/>
      <c r="C55" s="1"/>
      <c r="D55" s="1"/>
      <c r="E55" s="8"/>
      <c r="F55" s="5" t="str">
        <f t="shared" si="3"/>
        <v>x0</v>
      </c>
      <c r="G55" s="5" t="str">
        <f t="shared" si="4"/>
        <v/>
      </c>
    </row>
    <row r="56" spans="1:7" x14ac:dyDescent="0.25">
      <c r="A56" s="1">
        <v>55</v>
      </c>
      <c r="B56" s="1"/>
      <c r="C56" s="1"/>
      <c r="D56" s="1"/>
      <c r="E56" s="8"/>
      <c r="F56" s="5" t="str">
        <f t="shared" si="3"/>
        <v>x0</v>
      </c>
      <c r="G56" s="5" t="str">
        <f t="shared" si="4"/>
        <v/>
      </c>
    </row>
    <row r="57" spans="1:7" x14ac:dyDescent="0.25">
      <c r="A57" s="1">
        <v>56</v>
      </c>
      <c r="B57" s="1"/>
      <c r="C57" s="1"/>
      <c r="D57" s="1"/>
      <c r="E57" s="8"/>
      <c r="F57" s="5" t="str">
        <f t="shared" si="3"/>
        <v>x0</v>
      </c>
      <c r="G57" s="5" t="str">
        <f t="shared" si="4"/>
        <v/>
      </c>
    </row>
    <row r="58" spans="1:7" x14ac:dyDescent="0.25">
      <c r="A58" s="1">
        <v>57</v>
      </c>
      <c r="B58" s="1"/>
      <c r="C58" s="1"/>
      <c r="D58" s="1"/>
      <c r="E58" s="8"/>
      <c r="F58" s="5" t="str">
        <f t="shared" si="3"/>
        <v>x0</v>
      </c>
      <c r="G58" s="5" t="str">
        <f t="shared" si="4"/>
        <v/>
      </c>
    </row>
    <row r="59" spans="1:7" x14ac:dyDescent="0.25">
      <c r="A59" s="1">
        <v>58</v>
      </c>
      <c r="B59" s="1"/>
      <c r="C59" s="1"/>
      <c r="D59" s="1"/>
      <c r="E59" s="8"/>
      <c r="F59" s="5" t="str">
        <f t="shared" si="3"/>
        <v>x0</v>
      </c>
      <c r="G59" s="5" t="str">
        <f t="shared" si="4"/>
        <v/>
      </c>
    </row>
    <row r="60" spans="1:7" x14ac:dyDescent="0.25">
      <c r="A60" s="1">
        <v>59</v>
      </c>
      <c r="B60" s="1"/>
      <c r="C60" s="1"/>
      <c r="D60" s="1"/>
      <c r="E60" s="8"/>
      <c r="F60" s="5" t="str">
        <f t="shared" si="3"/>
        <v>x0</v>
      </c>
      <c r="G60" s="5" t="str">
        <f t="shared" si="4"/>
        <v/>
      </c>
    </row>
    <row r="61" spans="1:7" x14ac:dyDescent="0.25">
      <c r="A61" s="1">
        <v>60</v>
      </c>
      <c r="B61" s="1"/>
      <c r="C61" s="1"/>
      <c r="D61" s="1"/>
      <c r="E61" s="8"/>
      <c r="F61" s="5" t="str">
        <f t="shared" si="3"/>
        <v>x0</v>
      </c>
      <c r="G61" s="5" t="str">
        <f t="shared" si="4"/>
        <v/>
      </c>
    </row>
    <row r="62" spans="1:7" x14ac:dyDescent="0.25">
      <c r="A62" s="1">
        <v>61</v>
      </c>
      <c r="B62" s="1"/>
      <c r="C62" s="1"/>
      <c r="D62" s="1"/>
      <c r="E62" s="8"/>
      <c r="F62" s="5" t="str">
        <f t="shared" si="3"/>
        <v>x0</v>
      </c>
      <c r="G62" s="5" t="str">
        <f t="shared" si="4"/>
        <v/>
      </c>
    </row>
    <row r="63" spans="1:7" x14ac:dyDescent="0.25">
      <c r="A63" s="1">
        <v>62</v>
      </c>
      <c r="B63" s="1"/>
      <c r="C63" s="1"/>
      <c r="D63" s="1"/>
      <c r="E63" s="8"/>
      <c r="F63" s="5" t="str">
        <f t="shared" si="3"/>
        <v>x0</v>
      </c>
      <c r="G63" s="5" t="str">
        <f t="shared" si="4"/>
        <v/>
      </c>
    </row>
    <row r="64" spans="1:7" x14ac:dyDescent="0.25">
      <c r="A64" s="1">
        <v>63</v>
      </c>
      <c r="B64" s="1"/>
      <c r="C64" s="1"/>
      <c r="D64" s="1"/>
      <c r="E64" s="8"/>
      <c r="F64" s="5" t="str">
        <f t="shared" si="3"/>
        <v>x0</v>
      </c>
      <c r="G64" s="5" t="str">
        <f t="shared" si="4"/>
        <v/>
      </c>
    </row>
    <row r="65" spans="1:7" x14ac:dyDescent="0.25">
      <c r="A65" s="1">
        <v>64</v>
      </c>
      <c r="B65" s="1"/>
      <c r="C65" s="1"/>
      <c r="D65" s="1"/>
      <c r="E65" s="8"/>
      <c r="F65" s="5" t="str">
        <f t="shared" si="3"/>
        <v>x0</v>
      </c>
      <c r="G65" s="5" t="str">
        <f t="shared" si="4"/>
        <v/>
      </c>
    </row>
    <row r="66" spans="1:7" x14ac:dyDescent="0.25">
      <c r="A66" s="1">
        <v>65</v>
      </c>
      <c r="B66" s="1"/>
      <c r="C66" s="1"/>
      <c r="D66" s="1"/>
      <c r="E66" s="8"/>
      <c r="F66" s="5" t="str">
        <f t="shared" si="3"/>
        <v>x0</v>
      </c>
      <c r="G66" s="5" t="str">
        <f t="shared" si="4"/>
        <v/>
      </c>
    </row>
    <row r="67" spans="1:7" x14ac:dyDescent="0.25">
      <c r="A67" s="1">
        <v>66</v>
      </c>
      <c r="B67" s="1"/>
      <c r="C67" s="1"/>
      <c r="D67" s="1"/>
      <c r="E67" s="8"/>
      <c r="F67" s="5" t="str">
        <f t="shared" si="3"/>
        <v>x0</v>
      </c>
      <c r="G67" s="5" t="str">
        <f t="shared" si="4"/>
        <v/>
      </c>
    </row>
    <row r="68" spans="1:7" x14ac:dyDescent="0.25">
      <c r="A68" s="1">
        <v>67</v>
      </c>
      <c r="B68" s="1"/>
      <c r="C68" s="1"/>
      <c r="D68" s="1"/>
      <c r="E68" s="8"/>
      <c r="F68" s="5" t="str">
        <f t="shared" si="3"/>
        <v>x0</v>
      </c>
      <c r="G68" s="5" t="str">
        <f t="shared" si="4"/>
        <v/>
      </c>
    </row>
    <row r="69" spans="1:7" x14ac:dyDescent="0.25">
      <c r="A69" s="1">
        <v>68</v>
      </c>
      <c r="B69" s="1"/>
      <c r="C69" s="1"/>
      <c r="D69" s="1"/>
      <c r="E69" s="8"/>
      <c r="F69" s="5" t="str">
        <f t="shared" si="3"/>
        <v>x0</v>
      </c>
      <c r="G69" s="5" t="str">
        <f t="shared" ref="G69:G100" si="5">CONCATENATE(B69)</f>
        <v/>
      </c>
    </row>
    <row r="70" spans="1:7" x14ac:dyDescent="0.25">
      <c r="A70" s="1">
        <v>69</v>
      </c>
      <c r="B70" s="1"/>
      <c r="C70" s="1"/>
      <c r="D70" s="1"/>
      <c r="E70" s="8"/>
      <c r="F70" s="5" t="str">
        <f t="shared" si="3"/>
        <v>x0</v>
      </c>
      <c r="G70" s="5" t="str">
        <f t="shared" si="5"/>
        <v/>
      </c>
    </row>
    <row r="71" spans="1:7" x14ac:dyDescent="0.25">
      <c r="A71" s="1">
        <v>70</v>
      </c>
      <c r="B71" s="1"/>
      <c r="C71" s="1"/>
      <c r="D71" s="1"/>
      <c r="E71" s="8"/>
      <c r="F71" s="5" t="str">
        <f t="shared" si="3"/>
        <v>x0</v>
      </c>
      <c r="G71" s="5" t="str">
        <f t="shared" si="5"/>
        <v/>
      </c>
    </row>
    <row r="72" spans="1:7" x14ac:dyDescent="0.25">
      <c r="A72" s="1">
        <v>71</v>
      </c>
      <c r="B72" s="1"/>
      <c r="C72" s="1"/>
      <c r="D72" s="1"/>
      <c r="E72" s="8"/>
      <c r="F72" s="5" t="str">
        <f t="shared" si="3"/>
        <v>x0</v>
      </c>
      <c r="G72" s="5" t="str">
        <f t="shared" si="5"/>
        <v/>
      </c>
    </row>
    <row r="73" spans="1:7" x14ac:dyDescent="0.25">
      <c r="A73" s="1">
        <v>72</v>
      </c>
      <c r="B73" s="1"/>
      <c r="C73" s="1"/>
      <c r="D73" s="1"/>
      <c r="E73" s="8"/>
      <c r="F73" s="5" t="str">
        <f t="shared" si="3"/>
        <v>x0</v>
      </c>
      <c r="G73" s="5" t="str">
        <f t="shared" si="5"/>
        <v/>
      </c>
    </row>
    <row r="74" spans="1:7" x14ac:dyDescent="0.25">
      <c r="A74" s="1">
        <v>73</v>
      </c>
      <c r="B74" s="1"/>
      <c r="C74" s="1"/>
      <c r="D74" s="1"/>
      <c r="E74" s="8"/>
      <c r="F74" s="5" t="str">
        <f t="shared" si="3"/>
        <v>x0</v>
      </c>
      <c r="G74" s="5" t="str">
        <f t="shared" si="5"/>
        <v/>
      </c>
    </row>
    <row r="75" spans="1:7" x14ac:dyDescent="0.25">
      <c r="A75" s="1">
        <v>74</v>
      </c>
      <c r="B75" s="1"/>
      <c r="C75" s="1"/>
      <c r="D75" s="1"/>
      <c r="E75" s="8"/>
      <c r="F75" s="5" t="str">
        <f t="shared" si="3"/>
        <v>x0</v>
      </c>
      <c r="G75" s="5" t="str">
        <f t="shared" si="5"/>
        <v/>
      </c>
    </row>
    <row r="76" spans="1:7" x14ac:dyDescent="0.25">
      <c r="A76" s="1">
        <v>75</v>
      </c>
      <c r="B76" s="1"/>
      <c r="C76" s="1"/>
      <c r="D76" s="1"/>
      <c r="E76" s="8"/>
      <c r="F76" s="5" t="str">
        <f t="shared" si="3"/>
        <v>x0</v>
      </c>
      <c r="G76" s="5" t="str">
        <f t="shared" si="5"/>
        <v/>
      </c>
    </row>
    <row r="77" spans="1:7" x14ac:dyDescent="0.25">
      <c r="A77" s="1">
        <v>76</v>
      </c>
      <c r="B77" s="1"/>
      <c r="C77" s="1"/>
      <c r="D77" s="1"/>
      <c r="E77" s="8"/>
      <c r="F77" s="5" t="str">
        <f t="shared" si="3"/>
        <v>x0</v>
      </c>
      <c r="G77" s="5" t="str">
        <f t="shared" si="5"/>
        <v/>
      </c>
    </row>
    <row r="78" spans="1:7" x14ac:dyDescent="0.25">
      <c r="A78" s="1">
        <v>77</v>
      </c>
      <c r="B78" s="1"/>
      <c r="C78" s="1"/>
      <c r="D78" s="1"/>
      <c r="E78" s="8"/>
      <c r="F78" s="5" t="str">
        <f t="shared" si="3"/>
        <v>x0</v>
      </c>
      <c r="G78" s="5" t="str">
        <f t="shared" si="5"/>
        <v/>
      </c>
    </row>
    <row r="79" spans="1:7" x14ac:dyDescent="0.25">
      <c r="A79" s="1">
        <v>78</v>
      </c>
      <c r="B79" s="1"/>
      <c r="C79" s="1"/>
      <c r="D79" s="1"/>
      <c r="E79" s="8"/>
      <c r="F79" s="5" t="str">
        <f t="shared" si="3"/>
        <v>x0</v>
      </c>
      <c r="G79" s="5" t="str">
        <f t="shared" si="5"/>
        <v/>
      </c>
    </row>
    <row r="80" spans="1:7" x14ac:dyDescent="0.25">
      <c r="A80" s="1">
        <v>79</v>
      </c>
      <c r="B80" s="1"/>
      <c r="C80" s="1"/>
      <c r="D80" s="1"/>
      <c r="E80" s="8"/>
      <c r="F80" s="5" t="str">
        <f t="shared" si="3"/>
        <v>x0</v>
      </c>
      <c r="G80" s="5" t="str">
        <f t="shared" si="5"/>
        <v/>
      </c>
    </row>
    <row r="81" spans="1:7" x14ac:dyDescent="0.25">
      <c r="A81" s="1">
        <v>80</v>
      </c>
      <c r="B81" s="1"/>
      <c r="C81" s="1"/>
      <c r="D81" s="1"/>
      <c r="E81" s="8"/>
      <c r="F81" s="5" t="str">
        <f t="shared" si="3"/>
        <v>x0</v>
      </c>
      <c r="G81" s="5" t="str">
        <f t="shared" si="5"/>
        <v/>
      </c>
    </row>
    <row r="82" spans="1:7" x14ac:dyDescent="0.25">
      <c r="A82" s="1">
        <v>81</v>
      </c>
      <c r="B82" s="1"/>
      <c r="C82" s="1"/>
      <c r="D82" s="1"/>
      <c r="E82" s="8"/>
      <c r="F82" s="5" t="str">
        <f t="shared" si="3"/>
        <v>x0</v>
      </c>
      <c r="G82" s="5" t="str">
        <f t="shared" si="5"/>
        <v/>
      </c>
    </row>
    <row r="83" spans="1:7" x14ac:dyDescent="0.25">
      <c r="A83" s="1">
        <v>82</v>
      </c>
      <c r="B83" s="1"/>
      <c r="C83" s="1"/>
      <c r="D83" s="1"/>
      <c r="E83" s="8"/>
      <c r="F83" s="5" t="str">
        <f t="shared" si="3"/>
        <v>x0</v>
      </c>
      <c r="G83" s="5" t="str">
        <f t="shared" si="5"/>
        <v/>
      </c>
    </row>
    <row r="84" spans="1:7" x14ac:dyDescent="0.25">
      <c r="A84" s="1">
        <v>83</v>
      </c>
      <c r="B84" s="1"/>
      <c r="C84" s="1"/>
      <c r="D84" s="1"/>
      <c r="E84" s="8"/>
      <c r="F84" s="5" t="str">
        <f t="shared" si="3"/>
        <v>x0</v>
      </c>
      <c r="G84" s="5" t="str">
        <f t="shared" si="5"/>
        <v/>
      </c>
    </row>
    <row r="85" spans="1:7" x14ac:dyDescent="0.25">
      <c r="A85" s="1">
        <v>84</v>
      </c>
      <c r="B85" s="1"/>
      <c r="C85" s="1"/>
      <c r="D85" s="1"/>
      <c r="E85" s="8"/>
      <c r="F85" s="5" t="str">
        <f t="shared" si="3"/>
        <v>x0</v>
      </c>
      <c r="G85" s="5" t="str">
        <f t="shared" si="5"/>
        <v/>
      </c>
    </row>
    <row r="86" spans="1:7" x14ac:dyDescent="0.25">
      <c r="A86" s="1">
        <v>85</v>
      </c>
      <c r="B86" s="1"/>
      <c r="C86" s="1"/>
      <c r="D86" s="1"/>
      <c r="E86" s="8"/>
      <c r="F86" s="5" t="str">
        <f t="shared" ref="F86:F149" si="6">CONCATENATE("x",E86^4+D86)</f>
        <v>x0</v>
      </c>
      <c r="G86" s="5" t="str">
        <f t="shared" si="5"/>
        <v/>
      </c>
    </row>
    <row r="87" spans="1:7" x14ac:dyDescent="0.25">
      <c r="A87" s="1">
        <v>86</v>
      </c>
      <c r="B87" s="1"/>
      <c r="C87" s="1"/>
      <c r="D87" s="1"/>
      <c r="E87" s="8"/>
      <c r="F87" s="5" t="str">
        <f t="shared" si="6"/>
        <v>x0</v>
      </c>
      <c r="G87" s="5" t="str">
        <f t="shared" si="5"/>
        <v/>
      </c>
    </row>
    <row r="88" spans="1:7" x14ac:dyDescent="0.25">
      <c r="A88" s="1">
        <v>87</v>
      </c>
      <c r="B88" s="1"/>
      <c r="C88" s="1"/>
      <c r="D88" s="1"/>
      <c r="E88" s="8"/>
      <c r="F88" s="5" t="str">
        <f t="shared" si="6"/>
        <v>x0</v>
      </c>
      <c r="G88" s="5" t="str">
        <f t="shared" si="5"/>
        <v/>
      </c>
    </row>
    <row r="89" spans="1:7" x14ac:dyDescent="0.25">
      <c r="A89" s="1">
        <v>88</v>
      </c>
      <c r="B89" s="1"/>
      <c r="C89" s="1"/>
      <c r="D89" s="1"/>
      <c r="E89" s="8"/>
      <c r="F89" s="5" t="str">
        <f t="shared" si="6"/>
        <v>x0</v>
      </c>
      <c r="G89" s="5" t="str">
        <f t="shared" si="5"/>
        <v/>
      </c>
    </row>
    <row r="90" spans="1:7" x14ac:dyDescent="0.25">
      <c r="A90" s="1">
        <v>89</v>
      </c>
      <c r="B90" s="1"/>
      <c r="C90" s="1"/>
      <c r="D90" s="1"/>
      <c r="E90" s="8"/>
      <c r="F90" s="5" t="str">
        <f t="shared" si="6"/>
        <v>x0</v>
      </c>
      <c r="G90" s="5" t="str">
        <f t="shared" si="5"/>
        <v/>
      </c>
    </row>
    <row r="91" spans="1:7" x14ac:dyDescent="0.25">
      <c r="A91" s="1">
        <v>90</v>
      </c>
      <c r="B91" s="1"/>
      <c r="C91" s="1"/>
      <c r="D91" s="1"/>
      <c r="E91" s="8"/>
      <c r="F91" s="5" t="str">
        <f t="shared" si="6"/>
        <v>x0</v>
      </c>
      <c r="G91" s="5" t="str">
        <f t="shared" si="5"/>
        <v/>
      </c>
    </row>
    <row r="92" spans="1:7" x14ac:dyDescent="0.25">
      <c r="A92" s="1">
        <v>91</v>
      </c>
      <c r="B92" s="1"/>
      <c r="C92" s="1"/>
      <c r="D92" s="1"/>
      <c r="E92" s="8"/>
      <c r="F92" s="5" t="str">
        <f t="shared" si="6"/>
        <v>x0</v>
      </c>
      <c r="G92" s="5" t="str">
        <f t="shared" si="5"/>
        <v/>
      </c>
    </row>
    <row r="93" spans="1:7" x14ac:dyDescent="0.25">
      <c r="A93" s="1">
        <v>92</v>
      </c>
      <c r="B93" s="1"/>
      <c r="C93" s="1"/>
      <c r="D93" s="1"/>
      <c r="E93" s="8"/>
      <c r="F93" s="5" t="str">
        <f t="shared" si="6"/>
        <v>x0</v>
      </c>
      <c r="G93" s="5" t="str">
        <f t="shared" si="5"/>
        <v/>
      </c>
    </row>
    <row r="94" spans="1:7" x14ac:dyDescent="0.25">
      <c r="A94" s="1">
        <v>93</v>
      </c>
      <c r="B94" s="1"/>
      <c r="C94" s="1"/>
      <c r="D94" s="1"/>
      <c r="E94" s="8"/>
      <c r="F94" s="5" t="str">
        <f t="shared" si="6"/>
        <v>x0</v>
      </c>
      <c r="G94" s="5" t="str">
        <f t="shared" si="5"/>
        <v/>
      </c>
    </row>
    <row r="95" spans="1:7" x14ac:dyDescent="0.25">
      <c r="A95" s="1">
        <v>94</v>
      </c>
      <c r="B95" s="1"/>
      <c r="C95" s="1"/>
      <c r="D95" s="1"/>
      <c r="E95" s="8"/>
      <c r="F95" s="5" t="str">
        <f t="shared" si="6"/>
        <v>x0</v>
      </c>
      <c r="G95" s="5" t="str">
        <f t="shared" si="5"/>
        <v/>
      </c>
    </row>
    <row r="96" spans="1:7" x14ac:dyDescent="0.25">
      <c r="A96" s="1">
        <v>95</v>
      </c>
      <c r="B96" s="1"/>
      <c r="C96" s="1"/>
      <c r="D96" s="1"/>
      <c r="E96" s="8"/>
      <c r="F96" s="5" t="str">
        <f t="shared" si="6"/>
        <v>x0</v>
      </c>
      <c r="G96" s="5" t="str">
        <f t="shared" si="5"/>
        <v/>
      </c>
    </row>
    <row r="97" spans="1:7" x14ac:dyDescent="0.25">
      <c r="A97" s="1">
        <v>96</v>
      </c>
      <c r="B97" s="1"/>
      <c r="C97" s="1"/>
      <c r="D97" s="1"/>
      <c r="E97" s="8"/>
      <c r="F97" s="5" t="str">
        <f t="shared" si="6"/>
        <v>x0</v>
      </c>
      <c r="G97" s="5" t="str">
        <f t="shared" si="5"/>
        <v/>
      </c>
    </row>
    <row r="98" spans="1:7" x14ac:dyDescent="0.25">
      <c r="A98" s="1">
        <v>97</v>
      </c>
      <c r="B98" s="1"/>
      <c r="C98" s="1"/>
      <c r="D98" s="1"/>
      <c r="E98" s="8"/>
      <c r="F98" s="5" t="str">
        <f t="shared" si="6"/>
        <v>x0</v>
      </c>
      <c r="G98" s="5" t="str">
        <f t="shared" si="5"/>
        <v/>
      </c>
    </row>
    <row r="99" spans="1:7" x14ac:dyDescent="0.25">
      <c r="A99" s="1">
        <v>98</v>
      </c>
      <c r="B99" s="1"/>
      <c r="C99" s="1"/>
      <c r="D99" s="1"/>
      <c r="E99" s="8"/>
      <c r="F99" s="5" t="str">
        <f t="shared" si="6"/>
        <v>x0</v>
      </c>
      <c r="G99" s="5" t="str">
        <f t="shared" si="5"/>
        <v/>
      </c>
    </row>
    <row r="100" spans="1:7" x14ac:dyDescent="0.25">
      <c r="A100" s="1">
        <v>99</v>
      </c>
      <c r="B100" s="1"/>
      <c r="C100" s="1"/>
      <c r="D100" s="1"/>
      <c r="E100" s="8"/>
      <c r="F100" s="5" t="str">
        <f t="shared" si="6"/>
        <v>x0</v>
      </c>
      <c r="G100" s="5" t="str">
        <f t="shared" si="5"/>
        <v/>
      </c>
    </row>
    <row r="101" spans="1:7" x14ac:dyDescent="0.25">
      <c r="A101" s="1">
        <v>100</v>
      </c>
      <c r="B101" s="1"/>
      <c r="C101" s="1"/>
      <c r="D101" s="1"/>
      <c r="E101" s="8"/>
      <c r="F101" s="5" t="str">
        <f t="shared" si="6"/>
        <v>x0</v>
      </c>
      <c r="G101" s="5" t="str">
        <f t="shared" ref="G101:G132" si="7">CONCATENATE(B101)</f>
        <v/>
      </c>
    </row>
    <row r="102" spans="1:7" x14ac:dyDescent="0.25">
      <c r="A102" s="1">
        <v>101</v>
      </c>
      <c r="B102" s="1"/>
      <c r="C102" s="1"/>
      <c r="D102" s="1"/>
      <c r="E102" s="8"/>
      <c r="F102" s="5" t="str">
        <f t="shared" si="6"/>
        <v>x0</v>
      </c>
      <c r="G102" s="5" t="str">
        <f t="shared" si="7"/>
        <v/>
      </c>
    </row>
    <row r="103" spans="1:7" x14ac:dyDescent="0.25">
      <c r="A103" s="1">
        <v>102</v>
      </c>
      <c r="B103" s="1"/>
      <c r="C103" s="1"/>
      <c r="D103" s="1"/>
      <c r="E103" s="8"/>
      <c r="F103" s="5" t="str">
        <f t="shared" si="6"/>
        <v>x0</v>
      </c>
      <c r="G103" s="5" t="str">
        <f t="shared" si="7"/>
        <v/>
      </c>
    </row>
    <row r="104" spans="1:7" x14ac:dyDescent="0.25">
      <c r="A104" s="1">
        <v>103</v>
      </c>
      <c r="B104" s="1"/>
      <c r="C104" s="1"/>
      <c r="D104" s="1"/>
      <c r="E104" s="8"/>
      <c r="F104" s="5" t="str">
        <f t="shared" si="6"/>
        <v>x0</v>
      </c>
      <c r="G104" s="5" t="str">
        <f t="shared" si="7"/>
        <v/>
      </c>
    </row>
    <row r="105" spans="1:7" x14ac:dyDescent="0.25">
      <c r="A105" s="1">
        <v>104</v>
      </c>
      <c r="B105" s="1"/>
      <c r="C105" s="1"/>
      <c r="D105" s="1"/>
      <c r="E105" s="8"/>
      <c r="F105" s="5" t="str">
        <f t="shared" si="6"/>
        <v>x0</v>
      </c>
      <c r="G105" s="5" t="str">
        <f t="shared" si="7"/>
        <v/>
      </c>
    </row>
    <row r="106" spans="1:7" x14ac:dyDescent="0.25">
      <c r="A106" s="1">
        <v>105</v>
      </c>
      <c r="B106" s="1"/>
      <c r="C106" s="1"/>
      <c r="D106" s="1"/>
      <c r="E106" s="8"/>
      <c r="F106" s="5" t="str">
        <f t="shared" si="6"/>
        <v>x0</v>
      </c>
      <c r="G106" s="5" t="str">
        <f t="shared" si="7"/>
        <v/>
      </c>
    </row>
    <row r="107" spans="1:7" x14ac:dyDescent="0.25">
      <c r="A107" s="1">
        <v>106</v>
      </c>
      <c r="B107" s="1"/>
      <c r="C107" s="1"/>
      <c r="D107" s="1"/>
      <c r="E107" s="8"/>
      <c r="F107" s="5" t="str">
        <f t="shared" si="6"/>
        <v>x0</v>
      </c>
      <c r="G107" s="5" t="str">
        <f t="shared" si="7"/>
        <v/>
      </c>
    </row>
    <row r="108" spans="1:7" x14ac:dyDescent="0.25">
      <c r="A108" s="1">
        <v>107</v>
      </c>
      <c r="B108" s="1"/>
      <c r="C108" s="1"/>
      <c r="D108" s="1"/>
      <c r="E108" s="8"/>
      <c r="F108" s="5" t="str">
        <f t="shared" si="6"/>
        <v>x0</v>
      </c>
      <c r="G108" s="5" t="str">
        <f t="shared" si="7"/>
        <v/>
      </c>
    </row>
    <row r="109" spans="1:7" x14ac:dyDescent="0.25">
      <c r="A109" s="1">
        <v>108</v>
      </c>
      <c r="B109" s="1"/>
      <c r="C109" s="1"/>
      <c r="D109" s="1"/>
      <c r="E109" s="8"/>
      <c r="F109" s="5" t="str">
        <f t="shared" si="6"/>
        <v>x0</v>
      </c>
      <c r="G109" s="5" t="str">
        <f t="shared" si="7"/>
        <v/>
      </c>
    </row>
    <row r="110" spans="1:7" x14ac:dyDescent="0.25">
      <c r="A110" s="1">
        <v>109</v>
      </c>
      <c r="B110" s="1"/>
      <c r="C110" s="1"/>
      <c r="D110" s="1"/>
      <c r="E110" s="8"/>
      <c r="F110" s="5" t="str">
        <f t="shared" si="6"/>
        <v>x0</v>
      </c>
      <c r="G110" s="5" t="str">
        <f t="shared" si="7"/>
        <v/>
      </c>
    </row>
    <row r="111" spans="1:7" x14ac:dyDescent="0.25">
      <c r="A111" s="1">
        <v>110</v>
      </c>
      <c r="B111" s="1"/>
      <c r="C111" s="1"/>
      <c r="D111" s="1"/>
      <c r="E111" s="8"/>
      <c r="F111" s="5" t="str">
        <f t="shared" si="6"/>
        <v>x0</v>
      </c>
      <c r="G111" s="5" t="str">
        <f t="shared" si="7"/>
        <v/>
      </c>
    </row>
    <row r="112" spans="1:7" x14ac:dyDescent="0.25">
      <c r="A112" s="1">
        <v>111</v>
      </c>
      <c r="B112" s="1"/>
      <c r="C112" s="1"/>
      <c r="D112" s="1"/>
      <c r="E112" s="8"/>
      <c r="F112" s="5" t="str">
        <f t="shared" si="6"/>
        <v>x0</v>
      </c>
      <c r="G112" s="5" t="str">
        <f t="shared" si="7"/>
        <v/>
      </c>
    </row>
    <row r="113" spans="1:7" x14ac:dyDescent="0.25">
      <c r="A113" s="1">
        <v>112</v>
      </c>
      <c r="B113" s="1"/>
      <c r="C113" s="1"/>
      <c r="D113" s="1"/>
      <c r="E113" s="8"/>
      <c r="F113" s="5" t="str">
        <f t="shared" si="6"/>
        <v>x0</v>
      </c>
      <c r="G113" s="5" t="str">
        <f t="shared" si="7"/>
        <v/>
      </c>
    </row>
    <row r="114" spans="1:7" x14ac:dyDescent="0.25">
      <c r="A114" s="1">
        <v>113</v>
      </c>
      <c r="B114" s="1"/>
      <c r="C114" s="1"/>
      <c r="D114" s="1"/>
      <c r="E114" s="8"/>
      <c r="F114" s="5" t="str">
        <f t="shared" si="6"/>
        <v>x0</v>
      </c>
      <c r="G114" s="5" t="str">
        <f t="shared" si="7"/>
        <v/>
      </c>
    </row>
    <row r="115" spans="1:7" x14ac:dyDescent="0.25">
      <c r="A115" s="1">
        <v>114</v>
      </c>
      <c r="B115" s="1"/>
      <c r="C115" s="1"/>
      <c r="D115" s="1"/>
      <c r="E115" s="8"/>
      <c r="F115" s="5" t="str">
        <f t="shared" si="6"/>
        <v>x0</v>
      </c>
      <c r="G115" s="5" t="str">
        <f t="shared" si="7"/>
        <v/>
      </c>
    </row>
    <row r="116" spans="1:7" x14ac:dyDescent="0.25">
      <c r="A116" s="1">
        <v>115</v>
      </c>
      <c r="B116" s="1"/>
      <c r="C116" s="1"/>
      <c r="D116" s="1"/>
      <c r="E116" s="8"/>
      <c r="F116" s="5" t="str">
        <f t="shared" si="6"/>
        <v>x0</v>
      </c>
      <c r="G116" s="5" t="str">
        <f t="shared" si="7"/>
        <v/>
      </c>
    </row>
    <row r="117" spans="1:7" x14ac:dyDescent="0.25">
      <c r="A117" s="1">
        <v>116</v>
      </c>
      <c r="B117" s="1"/>
      <c r="C117" s="1"/>
      <c r="D117" s="1"/>
      <c r="E117" s="8"/>
      <c r="F117" s="5" t="str">
        <f t="shared" si="6"/>
        <v>x0</v>
      </c>
      <c r="G117" s="5" t="str">
        <f t="shared" si="7"/>
        <v/>
      </c>
    </row>
    <row r="118" spans="1:7" x14ac:dyDescent="0.25">
      <c r="A118" s="1">
        <v>117</v>
      </c>
      <c r="B118" s="1"/>
      <c r="C118" s="1"/>
      <c r="D118" s="1"/>
      <c r="E118" s="8"/>
      <c r="F118" s="5" t="str">
        <f t="shared" si="6"/>
        <v>x0</v>
      </c>
      <c r="G118" s="5" t="str">
        <f t="shared" si="7"/>
        <v/>
      </c>
    </row>
    <row r="119" spans="1:7" x14ac:dyDescent="0.25">
      <c r="A119" s="1">
        <v>118</v>
      </c>
      <c r="B119" s="1"/>
      <c r="C119" s="1"/>
      <c r="D119" s="1"/>
      <c r="E119" s="8"/>
      <c r="F119" s="5" t="str">
        <f t="shared" si="6"/>
        <v>x0</v>
      </c>
      <c r="G119" s="5" t="str">
        <f t="shared" si="7"/>
        <v/>
      </c>
    </row>
    <row r="120" spans="1:7" x14ac:dyDescent="0.25">
      <c r="A120" s="1">
        <v>119</v>
      </c>
      <c r="B120" s="1"/>
      <c r="C120" s="1"/>
      <c r="D120" s="1"/>
      <c r="E120" s="8"/>
      <c r="F120" s="5" t="str">
        <f t="shared" si="6"/>
        <v>x0</v>
      </c>
      <c r="G120" s="5" t="str">
        <f t="shared" si="7"/>
        <v/>
      </c>
    </row>
    <row r="121" spans="1:7" x14ac:dyDescent="0.25">
      <c r="A121" s="1">
        <v>120</v>
      </c>
      <c r="B121" s="1"/>
      <c r="C121" s="1"/>
      <c r="D121" s="1"/>
      <c r="E121" s="8"/>
      <c r="F121" s="5" t="str">
        <f t="shared" si="6"/>
        <v>x0</v>
      </c>
      <c r="G121" s="5" t="str">
        <f t="shared" si="7"/>
        <v/>
      </c>
    </row>
    <row r="122" spans="1:7" x14ac:dyDescent="0.25">
      <c r="A122" s="1">
        <v>121</v>
      </c>
      <c r="B122" s="1"/>
      <c r="C122" s="1"/>
      <c r="D122" s="1"/>
      <c r="E122" s="8"/>
      <c r="F122" s="5" t="str">
        <f t="shared" si="6"/>
        <v>x0</v>
      </c>
      <c r="G122" s="5" t="str">
        <f t="shared" si="7"/>
        <v/>
      </c>
    </row>
    <row r="123" spans="1:7" x14ac:dyDescent="0.25">
      <c r="A123" s="1">
        <v>122</v>
      </c>
      <c r="B123" s="1"/>
      <c r="C123" s="1"/>
      <c r="D123" s="1"/>
      <c r="E123" s="8"/>
      <c r="F123" s="5" t="str">
        <f t="shared" si="6"/>
        <v>x0</v>
      </c>
      <c r="G123" s="5" t="str">
        <f t="shared" si="7"/>
        <v/>
      </c>
    </row>
    <row r="124" spans="1:7" x14ac:dyDescent="0.25">
      <c r="A124" s="1">
        <v>123</v>
      </c>
      <c r="B124" s="1"/>
      <c r="C124" s="1"/>
      <c r="D124" s="1"/>
      <c r="E124" s="8"/>
      <c r="F124" s="5" t="str">
        <f t="shared" si="6"/>
        <v>x0</v>
      </c>
      <c r="G124" s="5" t="str">
        <f t="shared" si="7"/>
        <v/>
      </c>
    </row>
    <row r="125" spans="1:7" x14ac:dyDescent="0.25">
      <c r="A125" s="1">
        <v>124</v>
      </c>
      <c r="B125" s="1"/>
      <c r="C125" s="1"/>
      <c r="D125" s="1"/>
      <c r="E125" s="8"/>
      <c r="F125" s="5" t="str">
        <f t="shared" si="6"/>
        <v>x0</v>
      </c>
      <c r="G125" s="5" t="str">
        <f t="shared" si="7"/>
        <v/>
      </c>
    </row>
    <row r="126" spans="1:7" x14ac:dyDescent="0.25">
      <c r="A126" s="1">
        <v>125</v>
      </c>
      <c r="B126" s="1"/>
      <c r="C126" s="1"/>
      <c r="D126" s="1"/>
      <c r="E126" s="8"/>
      <c r="F126" s="5" t="str">
        <f t="shared" si="6"/>
        <v>x0</v>
      </c>
      <c r="G126" s="5" t="str">
        <f t="shared" si="7"/>
        <v/>
      </c>
    </row>
    <row r="127" spans="1:7" x14ac:dyDescent="0.25">
      <c r="A127" s="1">
        <v>126</v>
      </c>
      <c r="B127" s="1"/>
      <c r="C127" s="1"/>
      <c r="D127" s="1"/>
      <c r="E127" s="8"/>
      <c r="F127" s="5" t="str">
        <f t="shared" si="6"/>
        <v>x0</v>
      </c>
      <c r="G127" s="5" t="str">
        <f t="shared" si="7"/>
        <v/>
      </c>
    </row>
    <row r="128" spans="1:7" x14ac:dyDescent="0.25">
      <c r="A128" s="1">
        <v>127</v>
      </c>
      <c r="B128" s="1"/>
      <c r="C128" s="1"/>
      <c r="D128" s="1"/>
      <c r="E128" s="8"/>
      <c r="F128" s="5" t="str">
        <f t="shared" si="6"/>
        <v>x0</v>
      </c>
      <c r="G128" s="5" t="str">
        <f t="shared" si="7"/>
        <v/>
      </c>
    </row>
    <row r="129" spans="1:7" x14ac:dyDescent="0.25">
      <c r="A129" s="1">
        <v>128</v>
      </c>
      <c r="B129" s="1"/>
      <c r="C129" s="1"/>
      <c r="D129" s="1"/>
      <c r="E129" s="8"/>
      <c r="F129" s="5" t="str">
        <f t="shared" si="6"/>
        <v>x0</v>
      </c>
      <c r="G129" s="5" t="str">
        <f t="shared" si="7"/>
        <v/>
      </c>
    </row>
    <row r="130" spans="1:7" x14ac:dyDescent="0.25">
      <c r="A130" s="1">
        <v>129</v>
      </c>
      <c r="B130" s="1"/>
      <c r="C130" s="1"/>
      <c r="D130" s="1"/>
      <c r="E130" s="8"/>
      <c r="F130" s="5" t="str">
        <f t="shared" si="6"/>
        <v>x0</v>
      </c>
      <c r="G130" s="5" t="str">
        <f t="shared" si="7"/>
        <v/>
      </c>
    </row>
    <row r="131" spans="1:7" x14ac:dyDescent="0.25">
      <c r="A131" s="1">
        <v>130</v>
      </c>
      <c r="B131" s="1"/>
      <c r="C131" s="1"/>
      <c r="D131" s="1"/>
      <c r="E131" s="8"/>
      <c r="F131" s="5" t="str">
        <f t="shared" si="6"/>
        <v>x0</v>
      </c>
      <c r="G131" s="5" t="str">
        <f t="shared" si="7"/>
        <v/>
      </c>
    </row>
    <row r="132" spans="1:7" x14ac:dyDescent="0.25">
      <c r="A132" s="1">
        <v>131</v>
      </c>
      <c r="B132" s="1"/>
      <c r="C132" s="1"/>
      <c r="D132" s="1"/>
      <c r="E132" s="8"/>
      <c r="F132" s="5" t="str">
        <f t="shared" si="6"/>
        <v>x0</v>
      </c>
      <c r="G132" s="5" t="str">
        <f t="shared" si="7"/>
        <v/>
      </c>
    </row>
    <row r="133" spans="1:7" x14ac:dyDescent="0.25">
      <c r="A133" s="1">
        <v>132</v>
      </c>
      <c r="B133" s="1"/>
      <c r="C133" s="1"/>
      <c r="D133" s="1"/>
      <c r="E133" s="8"/>
      <c r="F133" s="5" t="str">
        <f t="shared" si="6"/>
        <v>x0</v>
      </c>
      <c r="G133" s="5" t="str">
        <f t="shared" ref="G133:G153" si="8">CONCATENATE(B133)</f>
        <v/>
      </c>
    </row>
    <row r="134" spans="1:7" x14ac:dyDescent="0.25">
      <c r="A134" s="1">
        <v>133</v>
      </c>
      <c r="B134" s="1"/>
      <c r="C134" s="1"/>
      <c r="D134" s="1"/>
      <c r="E134" s="8"/>
      <c r="F134" s="5" t="str">
        <f t="shared" si="6"/>
        <v>x0</v>
      </c>
      <c r="G134" s="5" t="str">
        <f t="shared" si="8"/>
        <v/>
      </c>
    </row>
    <row r="135" spans="1:7" x14ac:dyDescent="0.25">
      <c r="A135" s="1">
        <v>134</v>
      </c>
      <c r="B135" s="1"/>
      <c r="C135" s="1"/>
      <c r="D135" s="1"/>
      <c r="E135" s="8"/>
      <c r="F135" s="5" t="str">
        <f t="shared" si="6"/>
        <v>x0</v>
      </c>
      <c r="G135" s="5" t="str">
        <f t="shared" si="8"/>
        <v/>
      </c>
    </row>
    <row r="136" spans="1:7" x14ac:dyDescent="0.25">
      <c r="A136" s="1">
        <v>135</v>
      </c>
      <c r="B136" s="1"/>
      <c r="C136" s="1"/>
      <c r="D136" s="1"/>
      <c r="E136" s="8"/>
      <c r="F136" s="5" t="str">
        <f t="shared" si="6"/>
        <v>x0</v>
      </c>
      <c r="G136" s="5" t="str">
        <f t="shared" si="8"/>
        <v/>
      </c>
    </row>
    <row r="137" spans="1:7" x14ac:dyDescent="0.25">
      <c r="A137" s="1">
        <v>136</v>
      </c>
      <c r="B137" s="1"/>
      <c r="C137" s="1"/>
      <c r="D137" s="1"/>
      <c r="E137" s="8"/>
      <c r="F137" s="5" t="str">
        <f t="shared" si="6"/>
        <v>x0</v>
      </c>
      <c r="G137" s="5" t="str">
        <f t="shared" si="8"/>
        <v/>
      </c>
    </row>
    <row r="138" spans="1:7" x14ac:dyDescent="0.25">
      <c r="A138" s="1">
        <v>137</v>
      </c>
      <c r="B138" s="1"/>
      <c r="C138" s="1"/>
      <c r="D138" s="1"/>
      <c r="E138" s="8"/>
      <c r="F138" s="5" t="str">
        <f t="shared" si="6"/>
        <v>x0</v>
      </c>
      <c r="G138" s="5" t="str">
        <f t="shared" si="8"/>
        <v/>
      </c>
    </row>
    <row r="139" spans="1:7" x14ac:dyDescent="0.25">
      <c r="A139" s="1">
        <v>138</v>
      </c>
      <c r="B139" s="1"/>
      <c r="C139" s="1"/>
      <c r="D139" s="1"/>
      <c r="E139" s="8"/>
      <c r="F139" s="5" t="str">
        <f t="shared" si="6"/>
        <v>x0</v>
      </c>
      <c r="G139" s="5" t="str">
        <f t="shared" si="8"/>
        <v/>
      </c>
    </row>
    <row r="140" spans="1:7" x14ac:dyDescent="0.25">
      <c r="A140" s="1">
        <v>139</v>
      </c>
      <c r="B140" s="1"/>
      <c r="C140" s="1"/>
      <c r="D140" s="1"/>
      <c r="E140" s="8"/>
      <c r="F140" s="5" t="str">
        <f t="shared" si="6"/>
        <v>x0</v>
      </c>
      <c r="G140" s="5" t="str">
        <f t="shared" si="8"/>
        <v/>
      </c>
    </row>
    <row r="141" spans="1:7" x14ac:dyDescent="0.25">
      <c r="A141" s="1">
        <v>140</v>
      </c>
      <c r="B141" s="1"/>
      <c r="C141" s="1"/>
      <c r="D141" s="1"/>
      <c r="E141" s="8"/>
      <c r="F141" s="5" t="str">
        <f t="shared" si="6"/>
        <v>x0</v>
      </c>
      <c r="G141" s="5" t="str">
        <f t="shared" si="8"/>
        <v/>
      </c>
    </row>
    <row r="142" spans="1:7" x14ac:dyDescent="0.25">
      <c r="A142" s="1">
        <v>141</v>
      </c>
      <c r="B142" s="1"/>
      <c r="C142" s="1"/>
      <c r="D142" s="1"/>
      <c r="E142" s="8"/>
      <c r="F142" s="5" t="str">
        <f t="shared" si="6"/>
        <v>x0</v>
      </c>
      <c r="G142" s="5" t="str">
        <f t="shared" si="8"/>
        <v/>
      </c>
    </row>
    <row r="143" spans="1:7" x14ac:dyDescent="0.25">
      <c r="A143" s="1">
        <v>142</v>
      </c>
      <c r="B143" s="1"/>
      <c r="C143" s="1"/>
      <c r="D143" s="1"/>
      <c r="E143" s="8"/>
      <c r="F143" s="5" t="str">
        <f t="shared" si="6"/>
        <v>x0</v>
      </c>
      <c r="G143" s="5" t="str">
        <f t="shared" si="8"/>
        <v/>
      </c>
    </row>
    <row r="144" spans="1:7" x14ac:dyDescent="0.25">
      <c r="A144" s="1">
        <v>143</v>
      </c>
      <c r="B144" s="1"/>
      <c r="C144" s="1"/>
      <c r="D144" s="1"/>
      <c r="E144" s="8"/>
      <c r="F144" s="5" t="str">
        <f t="shared" si="6"/>
        <v>x0</v>
      </c>
      <c r="G144" s="5" t="str">
        <f t="shared" si="8"/>
        <v/>
      </c>
    </row>
    <row r="145" spans="1:7" x14ac:dyDescent="0.25">
      <c r="A145" s="1">
        <v>144</v>
      </c>
      <c r="B145" s="1"/>
      <c r="C145" s="1"/>
      <c r="D145" s="1"/>
      <c r="E145" s="8"/>
      <c r="F145" s="5" t="str">
        <f t="shared" si="6"/>
        <v>x0</v>
      </c>
      <c r="G145" s="5" t="str">
        <f t="shared" si="8"/>
        <v/>
      </c>
    </row>
    <row r="146" spans="1:7" x14ac:dyDescent="0.25">
      <c r="A146" s="1">
        <v>145</v>
      </c>
      <c r="B146" s="1"/>
      <c r="C146" s="1"/>
      <c r="D146" s="1"/>
      <c r="E146" s="8"/>
      <c r="F146" s="5" t="str">
        <f t="shared" si="6"/>
        <v>x0</v>
      </c>
      <c r="G146" s="5" t="str">
        <f t="shared" si="8"/>
        <v/>
      </c>
    </row>
    <row r="147" spans="1:7" x14ac:dyDescent="0.25">
      <c r="A147" s="1">
        <v>146</v>
      </c>
      <c r="B147" s="1"/>
      <c r="C147" s="1"/>
      <c r="D147" s="1"/>
      <c r="E147" s="8"/>
      <c r="F147" s="5" t="str">
        <f t="shared" si="6"/>
        <v>x0</v>
      </c>
      <c r="G147" s="5" t="str">
        <f t="shared" si="8"/>
        <v/>
      </c>
    </row>
    <row r="148" spans="1:7" x14ac:dyDescent="0.25">
      <c r="A148" s="1">
        <v>147</v>
      </c>
      <c r="B148" s="1"/>
      <c r="C148" s="1"/>
      <c r="D148" s="1"/>
      <c r="E148" s="8"/>
      <c r="F148" s="5" t="str">
        <f t="shared" si="6"/>
        <v>x0</v>
      </c>
      <c r="G148" s="5" t="str">
        <f t="shared" si="8"/>
        <v/>
      </c>
    </row>
    <row r="149" spans="1:7" x14ac:dyDescent="0.25">
      <c r="A149" s="1">
        <v>148</v>
      </c>
      <c r="B149" s="1"/>
      <c r="C149" s="1"/>
      <c r="D149" s="1"/>
      <c r="E149" s="8"/>
      <c r="F149" s="5" t="str">
        <f t="shared" si="6"/>
        <v>x0</v>
      </c>
      <c r="G149" s="5" t="str">
        <f t="shared" si="8"/>
        <v/>
      </c>
    </row>
    <row r="150" spans="1:7" x14ac:dyDescent="0.25">
      <c r="A150" s="1">
        <v>149</v>
      </c>
      <c r="B150" s="1"/>
      <c r="C150" s="1"/>
      <c r="D150" s="1"/>
      <c r="E150" s="8"/>
      <c r="F150" s="5" t="str">
        <f t="shared" ref="F150:F153" si="9">CONCATENATE("x",E150^4+D150)</f>
        <v>x0</v>
      </c>
      <c r="G150" s="5" t="str">
        <f t="shared" si="8"/>
        <v/>
      </c>
    </row>
    <row r="151" spans="1:7" x14ac:dyDescent="0.25">
      <c r="A151" s="1">
        <v>150</v>
      </c>
      <c r="B151" s="1"/>
      <c r="C151" s="1"/>
      <c r="D151" s="1"/>
      <c r="E151" s="8"/>
      <c r="F151" s="5" t="str">
        <f t="shared" si="9"/>
        <v>x0</v>
      </c>
      <c r="G151" s="5" t="str">
        <f t="shared" si="8"/>
        <v/>
      </c>
    </row>
    <row r="152" spans="1:7" x14ac:dyDescent="0.25">
      <c r="A152" s="1">
        <v>151</v>
      </c>
      <c r="B152" s="1"/>
      <c r="C152" s="1"/>
      <c r="D152" s="1"/>
      <c r="E152" s="8"/>
      <c r="F152" s="5" t="str">
        <f t="shared" si="9"/>
        <v>x0</v>
      </c>
      <c r="G152" s="5" t="str">
        <f t="shared" si="8"/>
        <v/>
      </c>
    </row>
    <row r="153" spans="1:7" x14ac:dyDescent="0.25">
      <c r="A153" s="1">
        <v>152</v>
      </c>
      <c r="B153" s="1"/>
      <c r="C153" s="1"/>
      <c r="D153" s="1"/>
      <c r="E153" s="8"/>
      <c r="F153" s="5" t="str">
        <f t="shared" si="9"/>
        <v>x0</v>
      </c>
      <c r="G153" s="5" t="str">
        <f t="shared" si="8"/>
        <v/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:G9"/>
  <sheetViews>
    <sheetView showGridLines="0" tabSelected="1" zoomScale="59" zoomScaleNormal="59" workbookViewId="0"/>
  </sheetViews>
  <sheetFormatPr defaultRowHeight="15" x14ac:dyDescent="0.25"/>
  <cols>
    <col min="1" max="1" width="4.21875" customWidth="1"/>
    <col min="2" max="2" width="5.5546875" customWidth="1"/>
    <col min="3" max="3" width="14.77734375" customWidth="1"/>
    <col min="4" max="4" width="37.33203125" customWidth="1"/>
    <col min="5" max="5" width="37.5546875" customWidth="1"/>
    <col min="6" max="6" width="37.44140625" customWidth="1"/>
    <col min="7" max="7" width="37.88671875" customWidth="1"/>
  </cols>
  <sheetData>
    <row r="4" spans="3:7" ht="15.75" thickBot="1" x14ac:dyDescent="0.3"/>
    <row r="5" spans="3:7" ht="275.25" customHeight="1" thickBot="1" x14ac:dyDescent="0.3">
      <c r="C5" s="3" t="s">
        <v>15</v>
      </c>
      <c r="D5" s="14" t="str">
        <f>showriskmap(tblRiskData[[#All],[SearchString]],"x257",tblRiskData[[#All],[Display Name]],CHAR(10))</f>
        <v/>
      </c>
      <c r="E5" s="16" t="str">
        <f>showriskmap(tblRiskData[[#All],[SearchString]],"x258",tblRiskData[[#All],[Display Name]],CHAR(10))</f>
        <v xml:space="preserve">pemb jln
pemb KA
pemb waduk
</v>
      </c>
      <c r="F5" s="16" t="str">
        <f>showriskmap(tblRiskData[[#All],[SearchString]],"x259",tblRiskData[[#All],[Display Name]],CHAR(10))</f>
        <v xml:space="preserve">banjir
kebakaran hutan
erupsi
erosi
gempa
penangkaran satli
pertambangan
</v>
      </c>
      <c r="G5" s="16" t="str">
        <f>showriskmap(tblRiskData[[#All],[SearchString]],"x260",tblRiskData[[#All],[Display Name]],CHAR(10))</f>
        <v xml:space="preserve">migrasi satwa
biosecurity
petrnk nomaden
perub pjg musim
anomali iklim
perub bhn pakan
perdg manusia
perdg hwn
bioterorism
pendididkan
ekonomi
</v>
      </c>
    </row>
    <row r="6" spans="3:7" ht="185.25" customHeight="1" thickBot="1" x14ac:dyDescent="0.3">
      <c r="C6" s="3" t="s">
        <v>16</v>
      </c>
      <c r="D6" s="14" t="str">
        <f>showriskmap(tblRiskData[[#All],[SearchString]],"x82",tblRiskData[[#All],[Display Name]],CHAR(10))</f>
        <v/>
      </c>
      <c r="E6" s="14" t="str">
        <f>showriskmap(tblRiskData[[#All],[SearchString]],"x83",tblRiskData[[#All],[Display Name]],CHAR(10))</f>
        <v xml:space="preserve">limbah
</v>
      </c>
      <c r="F6" s="16" t="str">
        <f>showriskmap(tblRiskData[[#All],[SearchString]],"x84",tblRiskData[[#All],[Display Name]],CHAR(10))</f>
        <v xml:space="preserve">reklamasi
deforestasi
alih fgs lahan
industrialisasi
hwn kesayangan
perilaku
perdg produk
</v>
      </c>
      <c r="G6" s="16" t="str">
        <f>showriskmap(tblRiskData[[#All],[SearchString]],"x85",tblRiskData[[#All],[Display Name]],CHAR(10))</f>
        <v xml:space="preserve">tata ruang petrnk
vaksinasi tdk sesuai
resistensi ab
obat dan pestisida
polusi
makan dg mentah
kontes satwa
</v>
      </c>
    </row>
    <row r="7" spans="3:7" ht="114.75" customHeight="1" thickBot="1" x14ac:dyDescent="0.3">
      <c r="C7" s="3" t="s">
        <v>17</v>
      </c>
      <c r="D7" s="15" t="s">
        <v>61</v>
      </c>
      <c r="E7" s="14" t="str">
        <f>showriskmap(tblRiskData[[#All],[SearchString]],"x18",tblRiskData[[#All],[Display Name]],CHAR(10))</f>
        <v xml:space="preserve">YOPI
konsumsi satli
adat
</v>
      </c>
      <c r="F7" s="14" t="str">
        <f>showriskmap(tblRiskData[[#All],[SearchString]],"x19",tblRiskData[[#All],[Display Name]],CHAR(10))</f>
        <v xml:space="preserve">transmigrasi
</v>
      </c>
      <c r="G7" s="16" t="str">
        <f>showriskmap(tblRiskData[[#All],[SearchString]],"x20",tblRiskData[[#All],[Display Name]],CHAR(10))</f>
        <v xml:space="preserve">political will
</v>
      </c>
    </row>
    <row r="8" spans="3:7" ht="104.25" customHeight="1" thickBot="1" x14ac:dyDescent="0.3">
      <c r="C8" s="3" t="s">
        <v>18</v>
      </c>
      <c r="D8" s="15" t="str">
        <f>showriskmap(tblRiskData[[#All],[SearchString]],"x2",tblRiskData[[#All],[Display Name]],CHAR(10))</f>
        <v/>
      </c>
      <c r="E8" s="15" t="str">
        <f>showriskmap(tblRiskData[[#All],[SearchString]],"x3",tblRiskData[[#All],[Display Name]],CHAR(10))</f>
        <v/>
      </c>
      <c r="F8" s="14" t="str">
        <f>showriskmap(tblRiskData[[#All],[SearchString]],"x4",tblRiskData[[#All],[Display Name]],CHAR(10))</f>
        <v/>
      </c>
      <c r="G8" s="14" t="str">
        <f>showriskmap(tblRiskData[[#All],[SearchString]],"x5",tblRiskData[[#All],[Display Name]],CHAR(10))</f>
        <v xml:space="preserve">perang/konflik
</v>
      </c>
    </row>
    <row r="9" spans="3:7" ht="27.75" customHeight="1" thickBot="1" x14ac:dyDescent="0.3">
      <c r="C9" s="2"/>
      <c r="D9" s="10" t="s">
        <v>10</v>
      </c>
      <c r="E9" s="10" t="s">
        <v>11</v>
      </c>
      <c r="F9" s="10" t="s">
        <v>12</v>
      </c>
      <c r="G9" s="10" t="s">
        <v>13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FAO ECTAD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 Putu Madri Dewi</dc:creator>
  <cp:lastModifiedBy>Ayu</cp:lastModifiedBy>
  <dcterms:created xsi:type="dcterms:W3CDTF">2016-06-06T07:57:16Z</dcterms:created>
  <dcterms:modified xsi:type="dcterms:W3CDTF">2023-02-01T13:04:54Z</dcterms:modified>
</cp:coreProperties>
</file>